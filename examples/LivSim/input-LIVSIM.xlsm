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queryTables/queryTable4.xml" ContentType="application/vnd.openxmlformats-officedocument.spreadsheetml.query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315" windowWidth="9180" windowHeight="4320" tabRatio="899" activeTab="7"/>
  </bookViews>
  <sheets>
    <sheet name="Readme" sheetId="18" r:id="rId1"/>
    <sheet name="Param_System" sheetId="8" r:id="rId2"/>
    <sheet name="Mashona" sheetId="9" r:id="rId3"/>
    <sheet name="Africander" sheetId="10" r:id="rId4"/>
    <sheet name="Friesian" sheetId="5" r:id="rId5"/>
    <sheet name="Mere" sheetId="12" r:id="rId6"/>
    <sheet name="Azawak" sheetId="17" r:id="rId7"/>
    <sheet name="LIVSIM_cows" sheetId="6" r:id="rId8"/>
    <sheet name="concentrate_quality" sheetId="3" r:id="rId9"/>
    <sheet name="forage_quality" sheetId="11" r:id="rId10"/>
    <sheet name="feed_input" sheetId="19" r:id="rId11"/>
  </sheets>
  <functionGroups builtInGroupCount="17"/>
  <externalReferences>
    <externalReference r:id="rId12"/>
  </externalReferences>
  <definedNames>
    <definedName name="b" localSheetId="3">OFFSET(Africander!$E$2,0,0,1,COUNTA(Africander!#REF!)-1)</definedName>
    <definedName name="b" localSheetId="7">OFFSET([1]LIVSIM_PARAM!$D$14,0,0,1,COUNTA([1]LIVSIM_PARAM!$A$3:$IV$3)-1)</definedName>
    <definedName name="b" localSheetId="2">OFFSET(Mashona!$E$2,0,0,1,COUNTA(Mashona!#REF!)-1)</definedName>
    <definedName name="b" localSheetId="5">OFFSET(Mere!$E$2,0,0,1,COUNTA(Mere!#REF!)-1)</definedName>
    <definedName name="b" localSheetId="1">OFFSET(Param_System!#REF!,0,0,1,COUNTA(Param_System!#REF!)-1)</definedName>
    <definedName name="b">OFFSET(Friesian!$E$2,0,0,1,COUNTA(Friesian!#REF!)-1)</definedName>
    <definedName name="breed" localSheetId="3">OFFSET(Africander!$E$2,,COUNTA(Africander!$E:$E),,)</definedName>
    <definedName name="breed" localSheetId="7">OFFSET([1]LIVSIM_PARAM!$D$14,,COUNTA([1]LIVSIM_PARAM!$D$1:$D$65536),,)</definedName>
    <definedName name="breed" localSheetId="2">OFFSET(Mashona!$E$2,,COUNTA(Mashona!$E:$E),,)</definedName>
    <definedName name="breed" localSheetId="5">OFFSET(Mere!$E$2,,COUNTA(Mere!$E:$E),,)</definedName>
    <definedName name="breed" localSheetId="1">OFFSET(Param_System!#REF!,,COUNTA(Param_System!$E:$E),,)</definedName>
    <definedName name="breed">OFFSET(Friesian!$E$2,,COUNTA(Friesian!$E:$E),,)</definedName>
    <definedName name="Breed_africander_1" localSheetId="3">Africander!$C$3:$M$42</definedName>
    <definedName name="Breed_friesian" localSheetId="4">Friesian!$C$46:$M$85</definedName>
    <definedName name="Breed_mashona_1" localSheetId="2">Mashona!$C$3:$M$42</definedName>
    <definedName name="Breed_mere_1" localSheetId="5">Mere!$C$3:$M$42</definedName>
  </definedNames>
  <calcPr calcId="145621"/>
</workbook>
</file>

<file path=xl/calcChain.xml><?xml version="1.0" encoding="utf-8"?>
<calcChain xmlns="http://schemas.openxmlformats.org/spreadsheetml/2006/main">
  <c r="J67" i="19" l="1"/>
  <c r="K67" i="19" s="1"/>
  <c r="J58" i="19"/>
  <c r="K58" i="19" s="1"/>
  <c r="J49" i="19"/>
  <c r="K49" i="19" s="1"/>
  <c r="J40" i="19"/>
  <c r="K40" i="19" s="1"/>
  <c r="J31" i="19"/>
  <c r="K31" i="19" s="1"/>
  <c r="J22" i="19"/>
  <c r="K22" i="19" s="1"/>
  <c r="J13" i="19"/>
  <c r="K13" i="19" s="1"/>
  <c r="C1" i="19" l="1"/>
  <c r="D1" i="19"/>
  <c r="E1" i="19"/>
  <c r="F1" i="19"/>
  <c r="G1" i="19"/>
  <c r="H1" i="19"/>
  <c r="I1" i="19"/>
  <c r="J1" i="19"/>
  <c r="K1" i="19"/>
  <c r="L1" i="19"/>
  <c r="M1" i="19"/>
  <c r="N1" i="19"/>
  <c r="O1" i="19"/>
  <c r="P1" i="19"/>
  <c r="P42" i="17"/>
  <c r="I36" i="17"/>
  <c r="H36" i="17"/>
  <c r="G36" i="17"/>
  <c r="F36" i="17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" i="3"/>
  <c r="B5" i="3"/>
  <c r="B6" i="3"/>
  <c r="B7" i="3"/>
  <c r="B8" i="3"/>
  <c r="B9" i="3"/>
  <c r="B10" i="3"/>
  <c r="B11" i="3"/>
  <c r="B12" i="3"/>
  <c r="B13" i="3"/>
</calcChain>
</file>

<file path=xl/comments1.xml><?xml version="1.0" encoding="utf-8"?>
<comments xmlns="http://schemas.openxmlformats.org/spreadsheetml/2006/main">
  <authors>
    <author>Jerome Dury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 xml:space="preserve">
for monthly time step  = 30.416
for weekly timestep =  7
for daily time step  = 1</t>
        </r>
      </text>
    </comment>
  </commentList>
</comments>
</file>

<file path=xl/comments2.xml><?xml version="1.0" encoding="utf-8"?>
<comments xmlns="http://schemas.openxmlformats.org/spreadsheetml/2006/main">
  <authors>
    <author>mamas001</author>
  </authors>
  <commentList>
    <comment ref="C22" authorId="0">
      <text>
        <r>
          <rPr>
            <sz val="8"/>
            <color indexed="81"/>
            <rFont val="Tahoma"/>
            <family val="2"/>
          </rPr>
          <t>% calving rate related to the age of the dam
Mariana changed this according to Wagenaar and Kontrohr (1986)</t>
        </r>
      </text>
    </comment>
    <comment ref="C26" authorId="0">
      <text>
        <r>
          <rPr>
            <b/>
            <sz val="8"/>
            <color indexed="81"/>
            <rFont val="Tahoma"/>
            <family val="2"/>
          </rPr>
          <t>mamas001:</t>
        </r>
        <r>
          <rPr>
            <sz val="8"/>
            <color indexed="81"/>
            <rFont val="Tahoma"/>
            <family val="2"/>
          </rPr>
          <t xml:space="preserve">
tableau 12 et 13 page 23</t>
        </r>
      </text>
    </comment>
  </commentList>
</comments>
</file>

<file path=xl/comments3.xml><?xml version="1.0" encoding="utf-8"?>
<comments xmlns="http://schemas.openxmlformats.org/spreadsheetml/2006/main">
  <authors>
    <author xml:space="preserve"> Jerome</author>
  </authors>
  <commentList>
    <comment ref="A42" authorId="0">
      <text>
        <r>
          <rPr>
            <sz val="8"/>
            <color indexed="81"/>
            <rFont val="Tahoma"/>
            <family val="2"/>
          </rPr>
          <t>Breed:
1=mashona, 2=Africander, 
3=Friesian
4=Mere
5=Azawak</t>
        </r>
      </text>
    </comment>
  </commentList>
</comments>
</file>

<file path=xl/connections.xml><?xml version="1.0" encoding="utf-8"?>
<connections xmlns="http://schemas.openxmlformats.org/spreadsheetml/2006/main">
  <connection id="1" name="Breed-africander1" type="6" refreshedVersion="4" background="1" saveData="1">
    <textPr codePage="850" sourceFile="D:\Mink\LivSim\model livsim\LIVSIM\input\Breed-africander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Breed-friesian" type="6" refreshedVersion="4" background="1" saveData="1">
    <textPr codePage="850" sourceFile="D:\Mink\LivSim\model livsim\LIVSIM\input\Breed-friesian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reed-mashona1" type="6" refreshedVersion="4" background="1" saveData="1">
    <textPr sourceFile="D:\Mink\LivSim\model livsim\LIVSIM\input\Breed-mashona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Breed-mere1" type="6" refreshedVersion="4" background="1" saveData="1">
    <textPr codePage="850" sourceFile="D:\Mink\LivSim\model livsim\LIVSIM\input\Breed-mere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<sst xmlns="http://schemas.openxmlformats.org/spreadsheetml/2006/main" count="2036" uniqueCount="391">
  <si>
    <t>DM</t>
  </si>
  <si>
    <t>ME</t>
  </si>
  <si>
    <t>GE</t>
  </si>
  <si>
    <t>FME</t>
  </si>
  <si>
    <t>CP</t>
  </si>
  <si>
    <t>ADIN</t>
  </si>
  <si>
    <t>DMD</t>
  </si>
  <si>
    <t>a</t>
  </si>
  <si>
    <t>b</t>
  </si>
  <si>
    <t>c</t>
  </si>
  <si>
    <t>NDF</t>
  </si>
  <si>
    <t>unit</t>
  </si>
  <si>
    <t>Variable name</t>
  </si>
  <si>
    <t>value</t>
  </si>
  <si>
    <t>tolly</t>
  </si>
  <si>
    <t>day</t>
  </si>
  <si>
    <t>FRIESIAN</t>
  </si>
  <si>
    <t>fraction_BW</t>
  </si>
  <si>
    <t>mature BW male</t>
  </si>
  <si>
    <t>kg</t>
  </si>
  <si>
    <t>mature BW female</t>
  </si>
  <si>
    <t>Pot weight female</t>
  </si>
  <si>
    <t>year</t>
  </si>
  <si>
    <t>Pot weight male</t>
  </si>
  <si>
    <t>weight max</t>
  </si>
  <si>
    <t>weight min</t>
  </si>
  <si>
    <t>max_annual_loss</t>
  </si>
  <si>
    <t>lactation phase for max loss</t>
  </si>
  <si>
    <t>pregnancy lenght</t>
  </si>
  <si>
    <t>bull</t>
  </si>
  <si>
    <t>Calving rate</t>
  </si>
  <si>
    <t>effect of age on calving rate</t>
  </si>
  <si>
    <t>Feasible set  for repro</t>
  </si>
  <si>
    <t>Mortality rate female</t>
  </si>
  <si>
    <t>Mortality rate male</t>
  </si>
  <si>
    <t>Mortality rate (age)</t>
  </si>
  <si>
    <t>lactation lenght</t>
  </si>
  <si>
    <t>Milk_rate</t>
  </si>
  <si>
    <t>kg/year</t>
  </si>
  <si>
    <t>lactation_month</t>
  </si>
  <si>
    <t>milk_fat</t>
  </si>
  <si>
    <t>lactation phase</t>
  </si>
  <si>
    <t>fraction milk</t>
  </si>
  <si>
    <t>critical age</t>
  </si>
  <si>
    <t>var names</t>
  </si>
  <si>
    <t>farm type</t>
  </si>
  <si>
    <t>COW's ID</t>
  </si>
  <si>
    <t xml:space="preserve"> 1: sex, 1 = female or 0 = male</t>
  </si>
  <si>
    <t xml:space="preserve"> 2: age</t>
  </si>
  <si>
    <t xml:space="preserve"> 3: cow, yes (=1) or heifer (=0)</t>
  </si>
  <si>
    <t xml:space="preserve"> 4: weight</t>
  </si>
  <si>
    <t xml:space="preserve"> 5: growth last month</t>
  </si>
  <si>
    <t>kg/month</t>
  </si>
  <si>
    <t xml:space="preserve"> 6: ME for potential growth</t>
  </si>
  <si>
    <t xml:space="preserve"> 7: MP for potential growth</t>
  </si>
  <si>
    <t xml:space="preserve"> 9: minimum BW-age combination</t>
  </si>
  <si>
    <t xml:space="preserve"> 10: calving index</t>
  </si>
  <si>
    <t xml:space="preserve"> 11: pregnancy index</t>
  </si>
  <si>
    <t xml:space="preserve"> 14: ME for maintenance </t>
  </si>
  <si>
    <t xml:space="preserve"> 15: ME for growth</t>
  </si>
  <si>
    <t xml:space="preserve"> 16: ME for gestation</t>
  </si>
  <si>
    <t xml:space="preserve"> 17: ME for lactation</t>
  </si>
  <si>
    <t xml:space="preserve"> 18: MP for maintenance</t>
  </si>
  <si>
    <t xml:space="preserve"> 19: MP for growth</t>
  </si>
  <si>
    <t xml:space="preserve"> 20: MP for gestation</t>
  </si>
  <si>
    <t xml:space="preserve"> 21: MP for lactation</t>
  </si>
  <si>
    <t xml:space="preserve"> 22: Prob of conception</t>
  </si>
  <si>
    <t xml:space="preserve"> 23: Random number for conception</t>
  </si>
  <si>
    <t xml:space="preserve"> 24: feed deficit --&gt; mortality</t>
  </si>
  <si>
    <t xml:space="preserve"> 28: basal maintenance</t>
  </si>
  <si>
    <t xml:space="preserve"> 30: ME input</t>
  </si>
  <si>
    <t xml:space="preserve"> 31: Mprot input</t>
  </si>
  <si>
    <t xml:space="preserve"> 32: DM input</t>
  </si>
  <si>
    <t xml:space="preserve"> 33: CP input</t>
  </si>
  <si>
    <t xml:space="preserve"> 34: ME milk consumed</t>
  </si>
  <si>
    <t xml:space="preserve"> 35: MP milk consumed</t>
  </si>
  <si>
    <t xml:space="preserve"> 36: DM milk consumed</t>
  </si>
  <si>
    <t xml:space="preserve"> 37: DM_input_concentrate</t>
  </si>
  <si>
    <t xml:space="preserve"> 38: CP_input_concentrate</t>
  </si>
  <si>
    <t xml:space="preserve"> 39: ME_input_concentrate</t>
  </si>
  <si>
    <t xml:space="preserve"> 40: Mprot_concentrate</t>
  </si>
  <si>
    <t xml:space="preserve"> 45: probability of death</t>
  </si>
  <si>
    <t xml:space="preserve"> 46: random number for mortality</t>
  </si>
  <si>
    <t>breed</t>
  </si>
  <si>
    <t>PARAM.SYS.tolly</t>
  </si>
  <si>
    <t>CONCENTRATE</t>
  </si>
  <si>
    <t>BW.Fraction</t>
  </si>
  <si>
    <t>BW.MatureMale</t>
  </si>
  <si>
    <t>BW.MatureFemale</t>
  </si>
  <si>
    <t>BW.PotFemale</t>
  </si>
  <si>
    <t>BW.PotFemaleAge</t>
  </si>
  <si>
    <t>BW.PotMale</t>
  </si>
  <si>
    <t>BW.PotMaleAge</t>
  </si>
  <si>
    <t>BW.wma</t>
  </si>
  <si>
    <t>BW.ama</t>
  </si>
  <si>
    <t>BW.wmi</t>
  </si>
  <si>
    <t>BW.ami</t>
  </si>
  <si>
    <t>BW.MaxLost</t>
  </si>
  <si>
    <t>BW.MaxLostLP</t>
  </si>
  <si>
    <t>REPR.PregnLenght</t>
  </si>
  <si>
    <t>REPR.Bull</t>
  </si>
  <si>
    <t>REPR.CalvRate</t>
  </si>
  <si>
    <t>REPR.CalvRateAge</t>
  </si>
  <si>
    <t>REPR.Weights</t>
  </si>
  <si>
    <t>REPR.Age</t>
  </si>
  <si>
    <t>MORT.RateFemale</t>
  </si>
  <si>
    <t>MORT.RateMale</t>
  </si>
  <si>
    <t>MORT.RateAG</t>
  </si>
  <si>
    <t>LACT.Lenght</t>
  </si>
  <si>
    <t>LACT.MilkDM</t>
  </si>
  <si>
    <t>LACT.MilkME</t>
  </si>
  <si>
    <t>LACT.MilkCP</t>
  </si>
  <si>
    <t>LACT.MilkRate</t>
  </si>
  <si>
    <t>LACT.MilkRateLP</t>
  </si>
  <si>
    <t>LACT.MilkFat</t>
  </si>
  <si>
    <t>LACT.MilkFatLP</t>
  </si>
  <si>
    <t>LACT.Fraction</t>
  </si>
  <si>
    <t>LACT.CriticalAge</t>
  </si>
  <si>
    <t>AFRC.MaturingStage</t>
  </si>
  <si>
    <t>BW.qmsF</t>
  </si>
  <si>
    <t>BW.CRTF</t>
  </si>
  <si>
    <t>BW.qmsM</t>
  </si>
  <si>
    <t>BW.CRTM</t>
  </si>
  <si>
    <t>compensatory growth rate female</t>
  </si>
  <si>
    <t>Compensatory growth rate male</t>
  </si>
  <si>
    <t>Nan</t>
  </si>
  <si>
    <t>gestation protein requirements</t>
  </si>
  <si>
    <t>parameter</t>
  </si>
  <si>
    <t>Concentrate_ID</t>
  </si>
  <si>
    <t>8: milk production</t>
  </si>
  <si>
    <t>REPR.CBW</t>
  </si>
  <si>
    <t>PARAM.SYS.SimulationTime</t>
  </si>
  <si>
    <t>PARAM.SYS.factor</t>
  </si>
  <si>
    <t xml:space="preserve">time step of  simulation </t>
  </si>
  <si>
    <t>AFRC.EnergyWalking</t>
  </si>
  <si>
    <t>J/m/kg</t>
  </si>
  <si>
    <t>Energy requirement to walk</t>
  </si>
  <si>
    <t>LivsimMGMT.MilkAllowance</t>
  </si>
  <si>
    <t>LivsimMGMT.MilkAllowanceAge</t>
  </si>
  <si>
    <t>LivsimMGMT.weaningAGE</t>
  </si>
  <si>
    <t>age</t>
  </si>
  <si>
    <t>Milk allowance</t>
  </si>
  <si>
    <t>Weaning age</t>
  </si>
  <si>
    <t>Year</t>
  </si>
  <si>
    <t>LivsimMGMT.WalkingDistance</t>
  </si>
  <si>
    <t>km</t>
  </si>
  <si>
    <t>WalkingDistance</t>
  </si>
  <si>
    <t>BW.IntLact</t>
  </si>
  <si>
    <t>May</t>
  </si>
  <si>
    <t>July</t>
  </si>
  <si>
    <t>March</t>
  </si>
  <si>
    <t>coef for intake for lactating cow</t>
  </si>
  <si>
    <t>Oct</t>
  </si>
  <si>
    <t>Dec</t>
  </si>
  <si>
    <t xml:space="preserve"> 13: lactation index</t>
  </si>
  <si>
    <t>MERE</t>
  </si>
  <si>
    <t>AZAWAK</t>
  </si>
  <si>
    <t xml:space="preserve"> 29: DAM ID = COW.CHAR.Progenitor</t>
  </si>
  <si>
    <t>feed_id</t>
  </si>
  <si>
    <t xml:space="preserve">P </t>
  </si>
  <si>
    <t>K</t>
  </si>
  <si>
    <t>P</t>
  </si>
  <si>
    <t>weight max female</t>
  </si>
  <si>
    <t>weight min female</t>
  </si>
  <si>
    <t>Jan</t>
  </si>
  <si>
    <t>Feb</t>
  </si>
  <si>
    <t>Apr</t>
  </si>
  <si>
    <t>Jun</t>
  </si>
  <si>
    <t>Aug</t>
  </si>
  <si>
    <t>Sep</t>
  </si>
  <si>
    <t>Nov</t>
  </si>
  <si>
    <t>if =2 dead =0 animal alive</t>
  </si>
  <si>
    <t>values</t>
  </si>
  <si>
    <t>LivSimMGMT</t>
  </si>
  <si>
    <t>ParamSYS</t>
  </si>
  <si>
    <t>DO NOT:</t>
  </si>
  <si>
    <t>change the names of the tabs</t>
  </si>
  <si>
    <t>Input to LivSim is read from text-files. These input-files can be generated by setting the desired parameter values in the tabs and hitting the 'Create input-files' button on this worksheet.</t>
  </si>
  <si>
    <t>change the position of current variables in the worksheets. You can, however, expand the number of cows in 'LIVSIM_cows' or the number of concentrate or forages defined in 'concentrate_quality' and 'forage_quality'.</t>
  </si>
  <si>
    <t>animal_class</t>
  </si>
  <si>
    <t>feed_type</t>
  </si>
  <si>
    <t>Mars</t>
  </si>
  <si>
    <t>Avril</t>
  </si>
  <si>
    <t>Mai</t>
  </si>
  <si>
    <t>juin</t>
  </si>
  <si>
    <t>Juillet</t>
  </si>
  <si>
    <t>Aout</t>
  </si>
  <si>
    <t>Sept</t>
  </si>
  <si>
    <t>Nove</t>
  </si>
  <si>
    <t>Janv</t>
  </si>
  <si>
    <t>Fevrier</t>
  </si>
  <si>
    <t>Patu 1</t>
  </si>
  <si>
    <t>Patu 2</t>
  </si>
  <si>
    <t>Patu 3 (resd)</t>
  </si>
  <si>
    <t>Concentrate 1</t>
  </si>
  <si>
    <t>Concentrate 2</t>
  </si>
  <si>
    <t>Concentrate 3</t>
  </si>
  <si>
    <t>Forage 1</t>
  </si>
  <si>
    <t>Forage 2</t>
  </si>
  <si>
    <t>Forage 3</t>
  </si>
  <si>
    <t>Patu 1 (kg/BW)</t>
  </si>
  <si>
    <t>Patu 2 (kg/BW)</t>
  </si>
  <si>
    <t>Patu 3 (resd, kg/BW)</t>
  </si>
  <si>
    <t>Concentrate 1 (kg/BW)</t>
  </si>
  <si>
    <t>&gt;3</t>
  </si>
  <si>
    <t>Concentrate 2 (kg/BW)</t>
  </si>
  <si>
    <t>milk</t>
  </si>
  <si>
    <t>&lt;0.001</t>
  </si>
  <si>
    <t>Concentrate 3 (kg/BW)</t>
  </si>
  <si>
    <t>Forage 1 (kg/BW)</t>
  </si>
  <si>
    <t>Forage 2 (kg/BW)</t>
  </si>
  <si>
    <t>Forage 3 (kg/BW)</t>
  </si>
  <si>
    <t>&gt;0.001</t>
  </si>
  <si>
    <t>(3 months)</t>
  </si>
  <si>
    <t>1 year</t>
  </si>
  <si>
    <t>(3months)</t>
  </si>
  <si>
    <t>Cow$sys$farmtype</t>
  </si>
  <si>
    <t>Cow$sys$id</t>
  </si>
  <si>
    <t>sex</t>
  </si>
  <si>
    <t>stat</t>
  </si>
  <si>
    <t>bw</t>
  </si>
  <si>
    <t>potgrowthme</t>
  </si>
  <si>
    <t>potgrowthmp</t>
  </si>
  <si>
    <t>minbwagecomb</t>
  </si>
  <si>
    <t>calvind</t>
  </si>
  <si>
    <t>pregind</t>
  </si>
  <si>
    <t>death</t>
  </si>
  <si>
    <t>lactind</t>
  </si>
  <si>
    <t>replaced</t>
  </si>
  <si>
    <t>progenitor</t>
  </si>
  <si>
    <t>maintme</t>
  </si>
  <si>
    <t>growthme</t>
  </si>
  <si>
    <t>gestme</t>
  </si>
  <si>
    <t>lactme</t>
  </si>
  <si>
    <t>maintmp</t>
  </si>
  <si>
    <t>growthmp</t>
  </si>
  <si>
    <t>gestmp</t>
  </si>
  <si>
    <t>lactmp</t>
  </si>
  <si>
    <t>probaconception</t>
  </si>
  <si>
    <t>feeddeficit</t>
  </si>
  <si>
    <t>basalmaint</t>
  </si>
  <si>
    <t>damid</t>
  </si>
  <si>
    <t>me</t>
  </si>
  <si>
    <t>mp</t>
  </si>
  <si>
    <t>dm</t>
  </si>
  <si>
    <t>cp</t>
  </si>
  <si>
    <t>milkme</t>
  </si>
  <si>
    <t>milkmp</t>
  </si>
  <si>
    <t>milkdm</t>
  </si>
  <si>
    <t>concentratedm</t>
  </si>
  <si>
    <t>concentratecp</t>
  </si>
  <si>
    <t>concentrateme</t>
  </si>
  <si>
    <t>concentratemp</t>
  </si>
  <si>
    <t>probadeath</t>
  </si>
  <si>
    <t>randnbmort</t>
  </si>
  <si>
    <t>breedid</t>
  </si>
  <si>
    <t>dry</t>
  </si>
  <si>
    <t>faecn</t>
  </si>
  <si>
    <t>faeck</t>
  </si>
  <si>
    <t>urinaryn</t>
  </si>
  <si>
    <t>urinaryp</t>
  </si>
  <si>
    <t>urinaryk</t>
  </si>
  <si>
    <t>faecdm</t>
  </si>
  <si>
    <t>nbcalv</t>
  </si>
  <si>
    <t>nblact</t>
  </si>
  <si>
    <t>cummilk</t>
  </si>
  <si>
    <t>cumdaymilk</t>
  </si>
  <si>
    <t>cumdayopen</t>
  </si>
  <si>
    <t>agefirstconc</t>
  </si>
  <si>
    <t>agefirstcalv</t>
  </si>
  <si>
    <t>agelastcalv</t>
  </si>
  <si>
    <t>cumme</t>
  </si>
  <si>
    <t>cumdmi</t>
  </si>
  <si>
    <t>forint</t>
  </si>
  <si>
    <t>dmoff</t>
  </si>
  <si>
    <t>energywalking</t>
  </si>
  <si>
    <t>Cow$char$sex</t>
  </si>
  <si>
    <t>Cow$char$age</t>
  </si>
  <si>
    <t>Cow$char$stat</t>
  </si>
  <si>
    <t>Cow$char$bw</t>
  </si>
  <si>
    <t>Cow$need$potgrowthme</t>
  </si>
  <si>
    <t>Cow$need$potgrowthmp</t>
  </si>
  <si>
    <t>Cow$char$minbwagecomb</t>
  </si>
  <si>
    <t>Cow$char$calvind</t>
  </si>
  <si>
    <t>Cow$char$pregind</t>
  </si>
  <si>
    <t>Cow$char$death</t>
  </si>
  <si>
    <t>Cow$char$lactind</t>
  </si>
  <si>
    <t>Cow$char$replaced</t>
  </si>
  <si>
    <t>Cow$char$progenitor</t>
  </si>
  <si>
    <t>Cow$need$maintme</t>
  </si>
  <si>
    <t>Cow$need$growthme</t>
  </si>
  <si>
    <t>Cow$need$gestme</t>
  </si>
  <si>
    <t>Cow$need$lactme</t>
  </si>
  <si>
    <t>Cow$need$maintmp</t>
  </si>
  <si>
    <t>Cow$need$growthmp</t>
  </si>
  <si>
    <t>Cow$need$gestmp</t>
  </si>
  <si>
    <t>Cow$need$lactmp</t>
  </si>
  <si>
    <t>Cow$char$probaconception</t>
  </si>
  <si>
    <t>Cow$char$feeddeficit</t>
  </si>
  <si>
    <t>Cow$need$basalmaint</t>
  </si>
  <si>
    <t>Cow$sys$damid</t>
  </si>
  <si>
    <t>Cow$input$me</t>
  </si>
  <si>
    <t>Cow$input$mp</t>
  </si>
  <si>
    <t>Cow$input$dm</t>
  </si>
  <si>
    <t>Cow$input$cp</t>
  </si>
  <si>
    <t>Cow$input$milkme</t>
  </si>
  <si>
    <t>Cow$input$milkmp</t>
  </si>
  <si>
    <t>Cow$input$milkdm</t>
  </si>
  <si>
    <t>Cow$input$milk</t>
  </si>
  <si>
    <t>Cow$input$concentratedm</t>
  </si>
  <si>
    <t>Cow$input$concentratecp</t>
  </si>
  <si>
    <t>Cow$input$concentrateme</t>
  </si>
  <si>
    <t>Cow$input$concentratemp</t>
  </si>
  <si>
    <t>Cow$char$probadeath</t>
  </si>
  <si>
    <t>Cow$char$randnbmort</t>
  </si>
  <si>
    <t>Cow$breed$breedid</t>
  </si>
  <si>
    <t>Cow$out$milk</t>
  </si>
  <si>
    <t>Cow$out$dry</t>
  </si>
  <si>
    <t>Cow$out$faecn</t>
  </si>
  <si>
    <t>Cow$out$faeck</t>
  </si>
  <si>
    <t>Cow$out$urinaryn</t>
  </si>
  <si>
    <t>Cow$out$urinaryp</t>
  </si>
  <si>
    <t>Cow$out$urinaryk</t>
  </si>
  <si>
    <t>Cow$out$faecdm</t>
  </si>
  <si>
    <t>Cow$out$nbcalv</t>
  </si>
  <si>
    <t>Cow$out$nblact</t>
  </si>
  <si>
    <t>Cow$out$cummilk</t>
  </si>
  <si>
    <t>Cow$out$cumdaymilk</t>
  </si>
  <si>
    <t>Cow$out$cumdayopen</t>
  </si>
  <si>
    <t>Cow$out$agefirstconc</t>
  </si>
  <si>
    <t>Cow$out$agefirstcalv</t>
  </si>
  <si>
    <t>Cow$out$agelastcalv</t>
  </si>
  <si>
    <t>Cow$out$cumme</t>
  </si>
  <si>
    <t>Cow$out$cumdmi</t>
  </si>
  <si>
    <t>Cow$out$forint</t>
  </si>
  <si>
    <t>Cow$out$dmoff</t>
  </si>
  <si>
    <t>Cow$bw$averagebw</t>
  </si>
  <si>
    <t>Cow$need$energywalking</t>
  </si>
  <si>
    <t>id</t>
  </si>
  <si>
    <t>farmtype</t>
  </si>
  <si>
    <t>Cow$char$growthlastmonth</t>
  </si>
  <si>
    <t>growthlastmonth</t>
  </si>
  <si>
    <t>randnbconception</t>
  </si>
  <si>
    <t>Cow$char$randnbconception</t>
  </si>
  <si>
    <t>faecp</t>
  </si>
  <si>
    <t>Cow$out$faecp</t>
  </si>
  <si>
    <t>maturemale</t>
  </si>
  <si>
    <t>maturefemale</t>
  </si>
  <si>
    <t>potfemale</t>
  </si>
  <si>
    <t>potfemaleage</t>
  </si>
  <si>
    <t>potmale</t>
  </si>
  <si>
    <t>potmaleage</t>
  </si>
  <si>
    <t>wma</t>
  </si>
  <si>
    <t>ama</t>
  </si>
  <si>
    <t>wmi</t>
  </si>
  <si>
    <t>ami</t>
  </si>
  <si>
    <t>maxlost</t>
  </si>
  <si>
    <t>maxlostlp</t>
  </si>
  <si>
    <t>qmsf</t>
  </si>
  <si>
    <t>crtf</t>
  </si>
  <si>
    <t>qmsm</t>
  </si>
  <si>
    <t>crtm</t>
  </si>
  <si>
    <t>preglength</t>
  </si>
  <si>
    <t>calvrate</t>
  </si>
  <si>
    <t>calvrateage</t>
  </si>
  <si>
    <t>weights</t>
  </si>
  <si>
    <t>ratefemale</t>
  </si>
  <si>
    <t>ratemale</t>
  </si>
  <si>
    <t>length</t>
  </si>
  <si>
    <t>milkcp</t>
  </si>
  <si>
    <t>milkrate</t>
  </si>
  <si>
    <t>milkratelp</t>
  </si>
  <si>
    <t>milkfat</t>
  </si>
  <si>
    <t>milkfatlp</t>
  </si>
  <si>
    <t>criticalage</t>
  </si>
  <si>
    <t>cbw</t>
  </si>
  <si>
    <t>maturingstage</t>
  </si>
  <si>
    <t>intlact</t>
  </si>
  <si>
    <t>REPR.Weight</t>
  </si>
  <si>
    <t>simulationtime</t>
  </si>
  <si>
    <t>milkallowance</t>
  </si>
  <si>
    <t>milkallowanceage</t>
  </si>
  <si>
    <t>weaningage</t>
  </si>
  <si>
    <t>walkingdistance</t>
  </si>
  <si>
    <t>tfactor</t>
  </si>
  <si>
    <t>rateag</t>
  </si>
  <si>
    <t>average_bw</t>
  </si>
  <si>
    <t>fraction_bw</t>
  </si>
  <si>
    <t>fraction_lact</t>
  </si>
  <si>
    <t>Mar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</si>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</sst>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[$-40C]d/mmm;@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ourier"/>
      <family val="3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1" fillId="0" borderId="0"/>
  </cellStyleXfs>
  <cellXfs count="88">
    <xf numFmtId="0" fontId="0" fillId="0" borderId="0" xfId="0"/>
    <xf numFmtId="0" fontId="0" fillId="0" borderId="0" xfId="0" applyFill="1"/>
    <xf numFmtId="0" fontId="2" fillId="0" borderId="0" xfId="0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6" fillId="0" borderId="0" xfId="0" applyFont="1"/>
    <xf numFmtId="2" fontId="0" fillId="0" borderId="0" xfId="0" applyNumberFormat="1"/>
    <xf numFmtId="0" fontId="6" fillId="0" borderId="0" xfId="0" applyFont="1" applyFill="1"/>
    <xf numFmtId="2" fontId="0" fillId="0" borderId="0" xfId="0" applyNumberFormat="1" applyFill="1"/>
    <xf numFmtId="0" fontId="2" fillId="0" borderId="0" xfId="0" applyFont="1" applyFill="1"/>
    <xf numFmtId="0" fontId="3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165" fontId="3" fillId="0" borderId="0" xfId="0" applyNumberFormat="1" applyFont="1" applyFill="1" applyBorder="1" applyAlignment="1">
      <alignment horizontal="left"/>
    </xf>
    <xf numFmtId="1" fontId="3" fillId="0" borderId="0" xfId="0" applyNumberFormat="1" applyFont="1" applyFill="1" applyBorder="1" applyAlignment="1">
      <alignment horizontal="left"/>
    </xf>
    <xf numFmtId="164" fontId="3" fillId="0" borderId="0" xfId="0" applyNumberFormat="1" applyFont="1" applyFill="1" applyBorder="1" applyAlignment="1">
      <alignment horizontal="left"/>
    </xf>
    <xf numFmtId="2" fontId="3" fillId="0" borderId="0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164" fontId="0" fillId="0" borderId="0" xfId="0" applyNumberFormat="1" applyFill="1" applyAlignment="1">
      <alignment horizontal="left"/>
    </xf>
    <xf numFmtId="165" fontId="2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  <xf numFmtId="0" fontId="6" fillId="0" borderId="0" xfId="0" applyFont="1" applyFill="1" applyAlignment="1">
      <alignment horizontal="left"/>
    </xf>
    <xf numFmtId="2" fontId="0" fillId="0" borderId="0" xfId="0" applyNumberFormat="1" applyFill="1" applyAlignment="1">
      <alignment horizontal="left"/>
    </xf>
    <xf numFmtId="11" fontId="0" fillId="0" borderId="0" xfId="0" applyNumberForma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5" fillId="0" borderId="0" xfId="0" applyFon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" fontId="5" fillId="0" borderId="0" xfId="0" applyNumberFormat="1" applyFont="1" applyFill="1" applyBorder="1" applyAlignment="1">
      <alignment horizontal="left"/>
    </xf>
    <xf numFmtId="167" fontId="5" fillId="0" borderId="0" xfId="1" applyNumberFormat="1" applyFont="1" applyFill="1" applyBorder="1" applyAlignment="1" applyProtection="1">
      <alignment horizontal="left"/>
      <protection locked="0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3" fillId="5" borderId="0" xfId="0" applyFont="1" applyFill="1" applyBorder="1" applyAlignment="1">
      <alignment horizontal="left"/>
    </xf>
    <xf numFmtId="0" fontId="5" fillId="5" borderId="0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9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2" fontId="12" fillId="0" borderId="0" xfId="0" applyNumberFormat="1" applyFont="1" applyFill="1" applyBorder="1" applyAlignment="1">
      <alignment horizontal="left"/>
    </xf>
    <xf numFmtId="0" fontId="12" fillId="0" borderId="0" xfId="0" applyFont="1" applyFill="1" applyAlignment="1">
      <alignment horizontal="left"/>
    </xf>
    <xf numFmtId="0" fontId="0" fillId="0" borderId="0" xfId="0" applyFont="1" applyFill="1" applyBorder="1" applyAlignment="1">
      <alignment horizontal="left"/>
    </xf>
    <xf numFmtId="0" fontId="12" fillId="5" borderId="0" xfId="0" applyFont="1" applyFill="1" applyAlignment="1">
      <alignment horizontal="left"/>
    </xf>
    <xf numFmtId="0" fontId="12" fillId="5" borderId="0" xfId="0" applyFont="1" applyFill="1" applyBorder="1" applyAlignment="1">
      <alignment horizontal="left"/>
    </xf>
    <xf numFmtId="2" fontId="12" fillId="5" borderId="0" xfId="0" applyNumberFormat="1" applyFont="1" applyFill="1" applyBorder="1" applyAlignment="1">
      <alignment horizontal="left"/>
    </xf>
    <xf numFmtId="167" fontId="3" fillId="0" borderId="0" xfId="1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>
      <alignment horizontal="left"/>
    </xf>
    <xf numFmtId="0" fontId="3" fillId="5" borderId="0" xfId="0" applyFon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3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165" fontId="3" fillId="5" borderId="0" xfId="0" applyNumberFormat="1" applyFont="1" applyFill="1" applyBorder="1" applyAlignment="1">
      <alignment horizontal="left"/>
    </xf>
    <xf numFmtId="164" fontId="3" fillId="0" borderId="0" xfId="0" applyNumberFormat="1" applyFont="1" applyFill="1" applyAlignment="1">
      <alignment horizontal="left"/>
    </xf>
    <xf numFmtId="0" fontId="3" fillId="3" borderId="0" xfId="0" applyFont="1" applyFill="1" applyAlignment="1">
      <alignment horizontal="left"/>
    </xf>
    <xf numFmtId="164" fontId="3" fillId="5" borderId="0" xfId="0" applyNumberFormat="1" applyFont="1" applyFill="1" applyAlignment="1">
      <alignment horizontal="left"/>
    </xf>
    <xf numFmtId="164" fontId="3" fillId="5" borderId="0" xfId="0" applyNumberFormat="1" applyFont="1" applyFill="1" applyBorder="1" applyAlignment="1">
      <alignment horizontal="left"/>
    </xf>
    <xf numFmtId="164" fontId="12" fillId="0" borderId="0" xfId="0" applyNumberFormat="1" applyFont="1" applyFill="1" applyBorder="1" applyAlignment="1">
      <alignment horizontal="left"/>
    </xf>
    <xf numFmtId="2" fontId="3" fillId="0" borderId="0" xfId="0" applyNumberFormat="1" applyFont="1" applyFill="1" applyAlignment="1">
      <alignment horizontal="left"/>
    </xf>
    <xf numFmtId="0" fontId="3" fillId="3" borderId="0" xfId="0" applyFont="1" applyFill="1" applyBorder="1"/>
    <xf numFmtId="0" fontId="3" fillId="0" borderId="0" xfId="0" applyFont="1"/>
    <xf numFmtId="167" fontId="5" fillId="2" borderId="0" xfId="1" applyNumberFormat="1" applyFont="1" applyFill="1" applyBorder="1" applyAlignment="1" applyProtection="1">
      <alignment horizontal="right"/>
      <protection locked="0"/>
    </xf>
    <xf numFmtId="167" fontId="5" fillId="0" borderId="0" xfId="1" applyNumberFormat="1" applyFont="1" applyFill="1" applyBorder="1" applyAlignment="1" applyProtection="1">
      <alignment horizontal="right"/>
      <protection locked="0"/>
    </xf>
    <xf numFmtId="167" fontId="6" fillId="0" borderId="0" xfId="1" applyNumberFormat="1" applyFont="1" applyFill="1" applyBorder="1" applyAlignment="1" applyProtection="1">
      <alignment horizontal="right"/>
      <protection locked="0"/>
    </xf>
    <xf numFmtId="0" fontId="0" fillId="4" borderId="0" xfId="0" applyFill="1"/>
    <xf numFmtId="0" fontId="0" fillId="6" borderId="0" xfId="0" applyFill="1"/>
    <xf numFmtId="0" fontId="3" fillId="6" borderId="0" xfId="0" applyFont="1" applyFill="1"/>
    <xf numFmtId="0" fontId="0" fillId="3" borderId="0" xfId="0" applyFill="1"/>
    <xf numFmtId="0" fontId="0" fillId="7" borderId="0" xfId="0" applyFill="1"/>
    <xf numFmtId="0" fontId="3" fillId="7" borderId="0" xfId="0" applyFont="1" applyFill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0" fillId="10" borderId="0" xfId="0" applyFill="1"/>
    <xf numFmtId="0" fontId="3" fillId="10" borderId="0" xfId="0" applyFont="1" applyFill="1"/>
    <xf numFmtId="9" fontId="0" fillId="0" borderId="0" xfId="0" applyNumberFormat="1"/>
    <xf numFmtId="0" fontId="1" fillId="0" borderId="0" xfId="0" applyFont="1" applyFill="1" applyAlignment="1">
      <alignment horizontal="left"/>
    </xf>
    <xf numFmtId="1" fontId="1" fillId="0" borderId="0" xfId="0" applyNumberFormat="1" applyFont="1" applyAlignment="1">
      <alignment horizontal="left" vertical="center"/>
    </xf>
    <xf numFmtId="164" fontId="1" fillId="0" borderId="0" xfId="0" applyNumberFormat="1" applyFont="1" applyFill="1" applyBorder="1" applyAlignment="1">
      <alignment horizontal="left"/>
    </xf>
    <xf numFmtId="0" fontId="14" fillId="0" borderId="0" xfId="0" applyFont="1"/>
    <xf numFmtId="0" fontId="3" fillId="0" borderId="0" xfId="0" applyFont="1" applyAlignment="1">
      <alignment horizontal="left" vertical="top" wrapText="1"/>
    </xf>
  </cellXfs>
  <cellStyles count="2">
    <cellStyle name="Normal" xfId="0" builtinId="0"/>
    <cellStyle name="Normal_Sheet1" xfId="1"/>
  </cellStyles>
  <dxfs count="7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Female</a:t>
            </a:r>
          </a:p>
        </c:rich>
      </c:tx>
      <c:layout>
        <c:manualLayout>
          <c:xMode val="edge"/>
          <c:yMode val="edge"/>
          <c:x val="0.31808758243966606"/>
          <c:y val="3.80621979448140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05626812657156"/>
          <c:y val="9.6885976842926921E-2"/>
          <c:w val="0.83575968417002766"/>
          <c:h val="0.68858247827651631"/>
        </c:manualLayout>
      </c:layout>
      <c:scatterChart>
        <c:scatterStyle val="lineMarker"/>
        <c:varyColors val="0"/>
        <c:ser>
          <c:idx val="0"/>
          <c:order val="0"/>
          <c:tx>
            <c:v>Feasible set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Mashona!$E$25:$K$25</c:f>
              <c:numCache>
                <c:formatCode>General</c:formatCode>
                <c:ptCount val="7"/>
                <c:pt idx="0">
                  <c:v>1.5</c:v>
                </c:pt>
                <c:pt idx="1">
                  <c:v>3.5</c:v>
                </c:pt>
                <c:pt idx="2">
                  <c:v>4.5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</c:numCache>
            </c:numRef>
          </c:xVal>
          <c:yVal>
            <c:numRef>
              <c:f>Mashona!$E$24:$K$24</c:f>
              <c:numCache>
                <c:formatCode>General</c:formatCode>
                <c:ptCount val="7"/>
                <c:pt idx="0">
                  <c:v>330</c:v>
                </c:pt>
                <c:pt idx="1">
                  <c:v>215</c:v>
                </c:pt>
                <c:pt idx="2">
                  <c:v>145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</c:numCache>
            </c:numRef>
          </c:yVal>
          <c:smooth val="0"/>
        </c:ser>
        <c:ser>
          <c:idx val="1"/>
          <c:order val="1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Mashona!$E$13:$J$13</c:f>
              <c:numCache>
                <c:formatCode>General</c:formatCode>
                <c:ptCount val="6"/>
                <c:pt idx="0">
                  <c:v>0</c:v>
                </c:pt>
                <c:pt idx="1">
                  <c:v>0.7</c:v>
                </c:pt>
                <c:pt idx="2">
                  <c:v>1.5</c:v>
                </c:pt>
                <c:pt idx="3">
                  <c:v>4.5999999999999996</c:v>
                </c:pt>
                <c:pt idx="4">
                  <c:v>6.7</c:v>
                </c:pt>
                <c:pt idx="5">
                  <c:v>12</c:v>
                </c:pt>
              </c:numCache>
            </c:numRef>
          </c:xVal>
          <c:yVal>
            <c:numRef>
              <c:f>Mashona!$E$12:$J$12</c:f>
              <c:numCache>
                <c:formatCode>General</c:formatCode>
                <c:ptCount val="6"/>
                <c:pt idx="0">
                  <c:v>30</c:v>
                </c:pt>
                <c:pt idx="1">
                  <c:v>57</c:v>
                </c:pt>
                <c:pt idx="2">
                  <c:v>88</c:v>
                </c:pt>
                <c:pt idx="3">
                  <c:v>140</c:v>
                </c:pt>
                <c:pt idx="4">
                  <c:v>160</c:v>
                </c:pt>
                <c:pt idx="5">
                  <c:v>160</c:v>
                </c:pt>
              </c:numCache>
            </c:numRef>
          </c:yVal>
          <c:smooth val="0"/>
        </c:ser>
        <c:ser>
          <c:idx val="2"/>
          <c:order val="2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Mashona!$E$7:$K$7</c:f>
              <c:numCache>
                <c:formatCode>General</c:formatCode>
                <c:ptCount val="7"/>
                <c:pt idx="0">
                  <c:v>0</c:v>
                </c:pt>
                <c:pt idx="1">
                  <c:v>0.7</c:v>
                </c:pt>
                <c:pt idx="2">
                  <c:v>1.5</c:v>
                </c:pt>
                <c:pt idx="3">
                  <c:v>4.5999999999999996</c:v>
                </c:pt>
                <c:pt idx="4">
                  <c:v>6.7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Mashona!$E$6:$K$6</c:f>
              <c:numCache>
                <c:formatCode>General</c:formatCode>
                <c:ptCount val="7"/>
                <c:pt idx="0">
                  <c:v>30</c:v>
                </c:pt>
                <c:pt idx="1">
                  <c:v>180</c:v>
                </c:pt>
                <c:pt idx="2">
                  <c:v>350</c:v>
                </c:pt>
                <c:pt idx="3">
                  <c:v>430</c:v>
                </c:pt>
                <c:pt idx="4">
                  <c:v>440</c:v>
                </c:pt>
                <c:pt idx="5">
                  <c:v>450</c:v>
                </c:pt>
                <c:pt idx="6">
                  <c:v>450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168"/>
        <c:axId val="116548736"/>
      </c:scatterChart>
      <c:valAx>
        <c:axId val="96823168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85660522133109"/>
              <c:y val="0.878894344848960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548736"/>
        <c:crosses val="autoZero"/>
        <c:crossBetween val="midCat"/>
        <c:majorUnit val="5"/>
      </c:valAx>
      <c:valAx>
        <c:axId val="116548736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84999786859586E-2"/>
              <c:y val="0.359862083660206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8231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2557234290029293"/>
          <c:y val="6.9204172356684204E-2"/>
          <c:w val="0.22661137195437575"/>
          <c:h val="0.200692293537108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Male</a:t>
            </a:r>
          </a:p>
        </c:rich>
      </c:tx>
      <c:layout>
        <c:manualLayout>
          <c:xMode val="edge"/>
          <c:yMode val="edge"/>
          <c:x val="0.33195020746887965"/>
          <c:y val="3.79310278522876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8008298755187"/>
          <c:y val="9.6551724137931033E-2"/>
          <c:w val="0.83609958506224069"/>
          <c:h val="0.68965517241379315"/>
        </c:manualLayout>
      </c:layout>
      <c:scatterChart>
        <c:scatterStyle val="lineMarker"/>
        <c:varyColors val="0"/>
        <c:ser>
          <c:idx val="1"/>
          <c:order val="0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Mashona!$E$13:$K$13</c:f>
              <c:numCache>
                <c:formatCode>General</c:formatCode>
                <c:ptCount val="7"/>
                <c:pt idx="0">
                  <c:v>0</c:v>
                </c:pt>
                <c:pt idx="1">
                  <c:v>0.7</c:v>
                </c:pt>
                <c:pt idx="2">
                  <c:v>1.5</c:v>
                </c:pt>
                <c:pt idx="3">
                  <c:v>4.5999999999999996</c:v>
                </c:pt>
                <c:pt idx="4">
                  <c:v>6.7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Mashona!$E$12:$K$12</c:f>
              <c:numCache>
                <c:formatCode>General</c:formatCode>
                <c:ptCount val="7"/>
                <c:pt idx="0">
                  <c:v>30</c:v>
                </c:pt>
                <c:pt idx="1">
                  <c:v>57</c:v>
                </c:pt>
                <c:pt idx="2">
                  <c:v>88</c:v>
                </c:pt>
                <c:pt idx="3">
                  <c:v>140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</c:numCache>
            </c:numRef>
          </c:yVal>
          <c:smooth val="0"/>
        </c:ser>
        <c:ser>
          <c:idx val="2"/>
          <c:order val="1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Mashona!$E$9:$K$9</c:f>
              <c:numCache>
                <c:formatCode>General</c:formatCode>
                <c:ptCount val="7"/>
                <c:pt idx="0">
                  <c:v>0</c:v>
                </c:pt>
                <c:pt idx="1">
                  <c:v>0.66666666666666696</c:v>
                </c:pt>
                <c:pt idx="2">
                  <c:v>1.5</c:v>
                </c:pt>
                <c:pt idx="3">
                  <c:v>4.5833333333333304</c:v>
                </c:pt>
                <c:pt idx="4">
                  <c:v>6.6666666666666696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Mashona!$E$8:$K$8</c:f>
              <c:numCache>
                <c:formatCode>General</c:formatCode>
                <c:ptCount val="7"/>
                <c:pt idx="0">
                  <c:v>30</c:v>
                </c:pt>
                <c:pt idx="1">
                  <c:v>210</c:v>
                </c:pt>
                <c:pt idx="2">
                  <c:v>330</c:v>
                </c:pt>
                <c:pt idx="3">
                  <c:v>520</c:v>
                </c:pt>
                <c:pt idx="4">
                  <c:v>540</c:v>
                </c:pt>
                <c:pt idx="5">
                  <c:v>550</c:v>
                </c:pt>
                <c:pt idx="6">
                  <c:v>550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58880"/>
        <c:axId val="136433664"/>
      </c:scatterChart>
      <c:valAx>
        <c:axId val="118858880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7551867219917"/>
              <c:y val="0.879310470806533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33664"/>
        <c:crosses val="autoZero"/>
        <c:crossBetween val="midCat"/>
        <c:majorUnit val="5"/>
      </c:valAx>
      <c:valAx>
        <c:axId val="136433664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20331950207469E-2"/>
              <c:y val="0.36206897214771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588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933609958506221"/>
          <c:y val="4.1379442954246101E-2"/>
          <c:w val="0.17012448132780078"/>
          <c:h val="0.134482805033986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LACT.MlilkRate</a:t>
            </a:r>
          </a:p>
        </c:rich>
      </c:tx>
      <c:layout>
        <c:manualLayout>
          <c:xMode val="edge"/>
          <c:yMode val="edge"/>
          <c:x val="0.46281030780243376"/>
          <c:y val="3.082191780821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6282450811163"/>
          <c:y val="9.5890571306739794E-2"/>
          <c:w val="0.82231487917548984"/>
          <c:h val="0.69178197871290859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Mashona!$E$34:$G$34</c:f>
              <c:numCache>
                <c:formatCode>0.00E+00</c:formatCode>
                <c:ptCount val="3"/>
                <c:pt idx="0" formatCode="General">
                  <c:v>0</c:v>
                </c:pt>
                <c:pt idx="1">
                  <c:v>8.3333333333333301E-2</c:v>
                </c:pt>
                <c:pt idx="2" formatCode="General">
                  <c:v>0.84166666666666701</c:v>
                </c:pt>
              </c:numCache>
            </c:numRef>
          </c:xVal>
          <c:yVal>
            <c:numRef>
              <c:f>Mashona!$E$33:$G$33</c:f>
              <c:numCache>
                <c:formatCode>General</c:formatCode>
                <c:ptCount val="3"/>
                <c:pt idx="0">
                  <c:v>1825</c:v>
                </c:pt>
                <c:pt idx="1">
                  <c:v>1825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9664"/>
        <c:axId val="51411968"/>
      </c:scatterChart>
      <c:valAx>
        <c:axId val="51409664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Lactation phase (year)</a:t>
                </a:r>
              </a:p>
            </c:rich>
          </c:tx>
          <c:layout>
            <c:manualLayout>
              <c:xMode val="edge"/>
              <c:yMode val="edge"/>
              <c:x val="0.42562037699832977"/>
              <c:y val="0.880138424477762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411968"/>
        <c:crosses val="autoZero"/>
        <c:crossBetween val="midCat"/>
        <c:majorUnit val="0.5"/>
        <c:minorUnit val="0.1"/>
      </c:valAx>
      <c:valAx>
        <c:axId val="51411968"/>
        <c:scaling>
          <c:orientation val="minMax"/>
          <c:max val="8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Milk rate (kg/year)</a:t>
                </a:r>
              </a:p>
            </c:rich>
          </c:tx>
          <c:layout>
            <c:manualLayout>
              <c:xMode val="edge"/>
              <c:yMode val="edge"/>
              <c:x val="3.0991648771176328E-2"/>
              <c:y val="0.263698989681084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409664"/>
        <c:crosses val="autoZero"/>
        <c:crossBetween val="midCat"/>
        <c:majorUnit val="2000"/>
        <c:minorUnit val="16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Female</a:t>
            </a:r>
          </a:p>
        </c:rich>
      </c:tx>
      <c:layout>
        <c:manualLayout>
          <c:xMode val="edge"/>
          <c:yMode val="edge"/>
          <c:x val="0.31808753635525289"/>
          <c:y val="3.80621979448140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05626812657156"/>
          <c:y val="9.6885976842926921E-2"/>
          <c:w val="0.83575968417002766"/>
          <c:h val="0.68858247827651631"/>
        </c:manualLayout>
      </c:layout>
      <c:scatterChart>
        <c:scatterStyle val="lineMarker"/>
        <c:varyColors val="0"/>
        <c:ser>
          <c:idx val="0"/>
          <c:order val="0"/>
          <c:tx>
            <c:v>Feasible set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Africander!$E$25:$K$25</c:f>
              <c:numCache>
                <c:formatCode>General</c:formatCode>
                <c:ptCount val="7"/>
                <c:pt idx="0">
                  <c:v>1.5</c:v>
                </c:pt>
                <c:pt idx="1">
                  <c:v>2.1666666666666701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Africander!$E$24:$K$24</c:f>
              <c:numCache>
                <c:formatCode>General</c:formatCode>
                <c:ptCount val="7"/>
                <c:pt idx="0">
                  <c:v>300</c:v>
                </c:pt>
                <c:pt idx="1">
                  <c:v>215</c:v>
                </c:pt>
                <c:pt idx="2">
                  <c:v>145</c:v>
                </c:pt>
                <c:pt idx="3">
                  <c:v>175</c:v>
                </c:pt>
                <c:pt idx="4">
                  <c:v>200</c:v>
                </c:pt>
                <c:pt idx="5">
                  <c:v>220</c:v>
                </c:pt>
                <c:pt idx="6">
                  <c:v>220</c:v>
                </c:pt>
              </c:numCache>
            </c:numRef>
          </c:yVal>
          <c:smooth val="0"/>
        </c:ser>
        <c:ser>
          <c:idx val="1"/>
          <c:order val="1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Africander!$E$13:$M$13</c:f>
              <c:numCache>
                <c:formatCode>General</c:formatCode>
                <c:ptCount val="9"/>
                <c:pt idx="0">
                  <c:v>0</c:v>
                </c:pt>
                <c:pt idx="1">
                  <c:v>0.66666666666666696</c:v>
                </c:pt>
                <c:pt idx="2">
                  <c:v>1.9166666666666701</c:v>
                </c:pt>
                <c:pt idx="3">
                  <c:v>2.3333333333333299</c:v>
                </c:pt>
                <c:pt idx="4">
                  <c:v>3.75</c:v>
                </c:pt>
                <c:pt idx="5">
                  <c:v>4.5</c:v>
                </c:pt>
                <c:pt idx="6">
                  <c:v>6.6666666666666696</c:v>
                </c:pt>
                <c:pt idx="7">
                  <c:v>11.6666666666667</c:v>
                </c:pt>
                <c:pt idx="8">
                  <c:v>20</c:v>
                </c:pt>
              </c:numCache>
            </c:numRef>
          </c:xVal>
          <c:yVal>
            <c:numRef>
              <c:f>Africander!$E$12:$M$12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80</c:v>
                </c:pt>
                <c:pt idx="3">
                  <c:v>90</c:v>
                </c:pt>
                <c:pt idx="4">
                  <c:v>120</c:v>
                </c:pt>
                <c:pt idx="5">
                  <c:v>140</c:v>
                </c:pt>
                <c:pt idx="6">
                  <c:v>166</c:v>
                </c:pt>
                <c:pt idx="7">
                  <c:v>220</c:v>
                </c:pt>
                <c:pt idx="8">
                  <c:v>220</c:v>
                </c:pt>
              </c:numCache>
            </c:numRef>
          </c:yVal>
          <c:smooth val="0"/>
        </c:ser>
        <c:ser>
          <c:idx val="2"/>
          <c:order val="2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Africander!$E$7:$M$7</c:f>
              <c:numCache>
                <c:formatCode>General</c:formatCode>
                <c:ptCount val="9"/>
                <c:pt idx="0">
                  <c:v>0</c:v>
                </c:pt>
                <c:pt idx="1">
                  <c:v>0.66666666666666696</c:v>
                </c:pt>
                <c:pt idx="2">
                  <c:v>1.9166666666666701</c:v>
                </c:pt>
                <c:pt idx="3">
                  <c:v>2.3333333333333299</c:v>
                </c:pt>
                <c:pt idx="4">
                  <c:v>3.75</c:v>
                </c:pt>
                <c:pt idx="5">
                  <c:v>4.5</c:v>
                </c:pt>
                <c:pt idx="6">
                  <c:v>6.6666666666666696</c:v>
                </c:pt>
                <c:pt idx="7">
                  <c:v>11.6666666666667</c:v>
                </c:pt>
                <c:pt idx="8">
                  <c:v>20</c:v>
                </c:pt>
              </c:numCache>
            </c:numRef>
          </c:xVal>
          <c:yVal>
            <c:numRef>
              <c:f>Africander!$E$6:$M$6</c:f>
              <c:numCache>
                <c:formatCode>General</c:formatCode>
                <c:ptCount val="9"/>
                <c:pt idx="0">
                  <c:v>30</c:v>
                </c:pt>
                <c:pt idx="1">
                  <c:v>180</c:v>
                </c:pt>
                <c:pt idx="2">
                  <c:v>350</c:v>
                </c:pt>
                <c:pt idx="3">
                  <c:v>400</c:v>
                </c:pt>
                <c:pt idx="4">
                  <c:v>460</c:v>
                </c:pt>
                <c:pt idx="5">
                  <c:v>480</c:v>
                </c:pt>
                <c:pt idx="6">
                  <c:v>520</c:v>
                </c:pt>
                <c:pt idx="7">
                  <c:v>550</c:v>
                </c:pt>
                <c:pt idx="8">
                  <c:v>550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5968"/>
        <c:axId val="51478528"/>
      </c:scatterChart>
      <c:valAx>
        <c:axId val="51475968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856592510135816"/>
              <c:y val="0.878894344848960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478528"/>
        <c:crosses val="autoZero"/>
        <c:crossBetween val="midCat"/>
        <c:majorUnit val="5"/>
      </c:valAx>
      <c:valAx>
        <c:axId val="51478528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85031185031187E-2"/>
              <c:y val="0.359862083660206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4759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4012539492854457"/>
          <c:y val="1.7301139940533266E-2"/>
          <c:w val="0.22661144487916141"/>
          <c:h val="0.200692293537108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Male</a:t>
            </a:r>
          </a:p>
        </c:rich>
      </c:tx>
      <c:layout>
        <c:manualLayout>
          <c:xMode val="edge"/>
          <c:yMode val="edge"/>
          <c:x val="0.33195020746887965"/>
          <c:y val="3.79310278522876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8008298755187"/>
          <c:y val="9.6551724137931033E-2"/>
          <c:w val="0.83609958506224069"/>
          <c:h val="0.68965517241379315"/>
        </c:manualLayout>
      </c:layout>
      <c:scatterChart>
        <c:scatterStyle val="lineMarker"/>
        <c:varyColors val="0"/>
        <c:ser>
          <c:idx val="1"/>
          <c:order val="0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Africander!$E$13:$M$13</c:f>
              <c:numCache>
                <c:formatCode>General</c:formatCode>
                <c:ptCount val="9"/>
                <c:pt idx="0">
                  <c:v>0</c:v>
                </c:pt>
                <c:pt idx="1">
                  <c:v>0.66666666666666696</c:v>
                </c:pt>
                <c:pt idx="2">
                  <c:v>1.9166666666666701</c:v>
                </c:pt>
                <c:pt idx="3">
                  <c:v>2.3333333333333299</c:v>
                </c:pt>
                <c:pt idx="4">
                  <c:v>3.75</c:v>
                </c:pt>
                <c:pt idx="5">
                  <c:v>4.5</c:v>
                </c:pt>
                <c:pt idx="6">
                  <c:v>6.6666666666666696</c:v>
                </c:pt>
                <c:pt idx="7">
                  <c:v>11.6666666666667</c:v>
                </c:pt>
                <c:pt idx="8">
                  <c:v>20</c:v>
                </c:pt>
              </c:numCache>
            </c:numRef>
          </c:xVal>
          <c:yVal>
            <c:numRef>
              <c:f>Africander!$E$12:$M$12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80</c:v>
                </c:pt>
                <c:pt idx="3">
                  <c:v>90</c:v>
                </c:pt>
                <c:pt idx="4">
                  <c:v>120</c:v>
                </c:pt>
                <c:pt idx="5">
                  <c:v>140</c:v>
                </c:pt>
                <c:pt idx="6">
                  <c:v>166</c:v>
                </c:pt>
                <c:pt idx="7">
                  <c:v>220</c:v>
                </c:pt>
                <c:pt idx="8">
                  <c:v>220</c:v>
                </c:pt>
              </c:numCache>
            </c:numRef>
          </c:yVal>
          <c:smooth val="0"/>
        </c:ser>
        <c:ser>
          <c:idx val="2"/>
          <c:order val="1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Africander!$E$9:$M$9</c:f>
              <c:numCache>
                <c:formatCode>General</c:formatCode>
                <c:ptCount val="9"/>
                <c:pt idx="0">
                  <c:v>0</c:v>
                </c:pt>
                <c:pt idx="1">
                  <c:v>0.66666666666666696</c:v>
                </c:pt>
                <c:pt idx="2">
                  <c:v>1.5</c:v>
                </c:pt>
                <c:pt idx="3">
                  <c:v>1.9166666666666701</c:v>
                </c:pt>
                <c:pt idx="4">
                  <c:v>3</c:v>
                </c:pt>
                <c:pt idx="5">
                  <c:v>4</c:v>
                </c:pt>
                <c:pt idx="6">
                  <c:v>6.6666666666666696</c:v>
                </c:pt>
                <c:pt idx="7">
                  <c:v>11.6666666666667</c:v>
                </c:pt>
                <c:pt idx="8">
                  <c:v>20</c:v>
                </c:pt>
              </c:numCache>
            </c:numRef>
          </c:xVal>
          <c:yVal>
            <c:numRef>
              <c:f>Africander!$E$8:$M$8</c:f>
              <c:numCache>
                <c:formatCode>General</c:formatCode>
                <c:ptCount val="9"/>
                <c:pt idx="0">
                  <c:v>30</c:v>
                </c:pt>
                <c:pt idx="1">
                  <c:v>220</c:v>
                </c:pt>
                <c:pt idx="2">
                  <c:v>380</c:v>
                </c:pt>
                <c:pt idx="3">
                  <c:v>420</c:v>
                </c:pt>
                <c:pt idx="4">
                  <c:v>500</c:v>
                </c:pt>
                <c:pt idx="5">
                  <c:v>550</c:v>
                </c:pt>
                <c:pt idx="6">
                  <c:v>600</c:v>
                </c:pt>
                <c:pt idx="7">
                  <c:v>610</c:v>
                </c:pt>
                <c:pt idx="8">
                  <c:v>620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3872"/>
        <c:axId val="51506176"/>
      </c:scatterChart>
      <c:valAx>
        <c:axId val="51503872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7551867219917"/>
              <c:y val="0.879310470806533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506176"/>
        <c:crosses val="autoZero"/>
        <c:crossBetween val="midCat"/>
        <c:majorUnit val="5"/>
      </c:valAx>
      <c:valAx>
        <c:axId val="51506176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20331950207469E-2"/>
              <c:y val="0.36206897214771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50387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8423236514522821"/>
          <c:y val="0.70000019228365684"/>
          <c:w val="0.17012448132780078"/>
          <c:h val="0.134482805033986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LACT.MlilkRate</a:t>
            </a:r>
          </a:p>
        </c:rich>
      </c:tx>
      <c:layout>
        <c:manualLayout>
          <c:xMode val="edge"/>
          <c:yMode val="edge"/>
          <c:x val="0.46281035118544067"/>
          <c:y val="3.082191780821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6282450811163"/>
          <c:y val="9.5890571306739794E-2"/>
          <c:w val="0.82231487917548984"/>
          <c:h val="0.69178197871290859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Africander!$E$34:$G$34</c:f>
              <c:numCache>
                <c:formatCode>0.00E+00</c:formatCode>
                <c:ptCount val="3"/>
                <c:pt idx="0" formatCode="General">
                  <c:v>0</c:v>
                </c:pt>
                <c:pt idx="1">
                  <c:v>8.3333333333333301E-2</c:v>
                </c:pt>
                <c:pt idx="2" formatCode="General">
                  <c:v>1</c:v>
                </c:pt>
              </c:numCache>
            </c:numRef>
          </c:xVal>
          <c:yVal>
            <c:numRef>
              <c:f>Africander!$E$33:$G$33</c:f>
              <c:numCache>
                <c:formatCode>General</c:formatCode>
                <c:ptCount val="3"/>
                <c:pt idx="0">
                  <c:v>2555</c:v>
                </c:pt>
                <c:pt idx="1">
                  <c:v>2555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38656"/>
        <c:axId val="52045312"/>
      </c:scatterChart>
      <c:valAx>
        <c:axId val="52038656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Lactation phase (year)</a:t>
                </a:r>
              </a:p>
            </c:rich>
          </c:tx>
          <c:layout>
            <c:manualLayout>
              <c:xMode val="edge"/>
              <c:yMode val="edge"/>
              <c:x val="0.42562026854081253"/>
              <c:y val="0.880138424477762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045312"/>
        <c:crosses val="autoZero"/>
        <c:crossBetween val="midCat"/>
        <c:majorUnit val="0.5"/>
        <c:minorUnit val="0.1"/>
      </c:valAx>
      <c:valAx>
        <c:axId val="52045312"/>
        <c:scaling>
          <c:orientation val="minMax"/>
          <c:max val="8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Milk rate (kg/year)</a:t>
                </a:r>
              </a:p>
            </c:rich>
          </c:tx>
          <c:layout>
            <c:manualLayout>
              <c:xMode val="edge"/>
              <c:yMode val="edge"/>
              <c:x val="3.0991735537190084E-2"/>
              <c:y val="0.263698989681084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038656"/>
        <c:crosses val="autoZero"/>
        <c:crossBetween val="midCat"/>
        <c:majorUnit val="2000"/>
        <c:minorUnit val="16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Female</a:t>
            </a:r>
          </a:p>
        </c:rich>
      </c:tx>
      <c:layout>
        <c:manualLayout>
          <c:xMode val="edge"/>
          <c:yMode val="edge"/>
          <c:x val="0.31808763487897346"/>
          <c:y val="3.80621979448140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05626812657156"/>
          <c:y val="9.6885976842926921E-2"/>
          <c:w val="0.83575968417002766"/>
          <c:h val="0.68858247827651631"/>
        </c:manualLayout>
      </c:layout>
      <c:scatterChart>
        <c:scatterStyle val="lineMarker"/>
        <c:varyColors val="0"/>
        <c:ser>
          <c:idx val="0"/>
          <c:order val="0"/>
          <c:tx>
            <c:v>Feasible set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Friesian!$E$25:$K$25</c:f>
              <c:numCache>
                <c:formatCode>General</c:formatCode>
                <c:ptCount val="7"/>
                <c:pt idx="0">
                  <c:v>1.5</c:v>
                </c:pt>
                <c:pt idx="1">
                  <c:v>2.1666666666666701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xVal>
          <c:yVal>
            <c:numRef>
              <c:f>Friesian!$E$24:$K$24</c:f>
              <c:numCache>
                <c:formatCode>General</c:formatCode>
                <c:ptCount val="7"/>
                <c:pt idx="0">
                  <c:v>340</c:v>
                </c:pt>
                <c:pt idx="1">
                  <c:v>240</c:v>
                </c:pt>
                <c:pt idx="2">
                  <c:v>155</c:v>
                </c:pt>
                <c:pt idx="3">
                  <c:v>218</c:v>
                </c:pt>
                <c:pt idx="4">
                  <c:v>254</c:v>
                </c:pt>
                <c:pt idx="5">
                  <c:v>260</c:v>
                </c:pt>
                <c:pt idx="6">
                  <c:v>260</c:v>
                </c:pt>
              </c:numCache>
            </c:numRef>
          </c:yVal>
          <c:smooth val="0"/>
        </c:ser>
        <c:ser>
          <c:idx val="1"/>
          <c:order val="1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Friesian!$E$13:$J$13</c:f>
              <c:numCache>
                <c:formatCode>General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</c:numCache>
            </c:numRef>
          </c:xVal>
          <c:yVal>
            <c:numRef>
              <c:f>Friesian!$E$12:$J$12</c:f>
              <c:numCache>
                <c:formatCode>General</c:formatCode>
                <c:ptCount val="6"/>
                <c:pt idx="0">
                  <c:v>30</c:v>
                </c:pt>
                <c:pt idx="1">
                  <c:v>87</c:v>
                </c:pt>
                <c:pt idx="2">
                  <c:v>138</c:v>
                </c:pt>
                <c:pt idx="3">
                  <c:v>218</c:v>
                </c:pt>
                <c:pt idx="4">
                  <c:v>254</c:v>
                </c:pt>
                <c:pt idx="5">
                  <c:v>260</c:v>
                </c:pt>
              </c:numCache>
            </c:numRef>
          </c:yVal>
          <c:smooth val="0"/>
        </c:ser>
        <c:ser>
          <c:idx val="2"/>
          <c:order val="2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Friesian!$E$7:$I$7</c:f>
              <c:numCache>
                <c:formatCode>General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1.7</c:v>
                </c:pt>
                <c:pt idx="3">
                  <c:v>3.1</c:v>
                </c:pt>
                <c:pt idx="4">
                  <c:v>15</c:v>
                </c:pt>
              </c:numCache>
            </c:numRef>
          </c:xVal>
          <c:yVal>
            <c:numRef>
              <c:f>Friesian!$E$6:$I$6</c:f>
              <c:numCache>
                <c:formatCode>General</c:formatCode>
                <c:ptCount val="5"/>
                <c:pt idx="0">
                  <c:v>40</c:v>
                </c:pt>
                <c:pt idx="1">
                  <c:v>210</c:v>
                </c:pt>
                <c:pt idx="2">
                  <c:v>415</c:v>
                </c:pt>
                <c:pt idx="3">
                  <c:v>600</c:v>
                </c:pt>
                <c:pt idx="4">
                  <c:v>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36992"/>
        <c:axId val="52439296"/>
      </c:scatterChart>
      <c:valAx>
        <c:axId val="52436992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856615145329058"/>
              <c:y val="0.878894344848960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39296"/>
        <c:crosses val="autoZero"/>
        <c:crossBetween val="midCat"/>
        <c:majorUnit val="2"/>
      </c:valAx>
      <c:valAx>
        <c:axId val="52439296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84990765043261E-2"/>
              <c:y val="0.359862083660206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369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052055993000877"/>
          <c:y val="0.56747498813570818"/>
          <c:w val="0.22661125692621753"/>
          <c:h val="0.200692293537108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Male</a:t>
            </a:r>
          </a:p>
        </c:rich>
      </c:tx>
      <c:layout>
        <c:manualLayout>
          <c:xMode val="edge"/>
          <c:yMode val="edge"/>
          <c:x val="0.33195020746887965"/>
          <c:y val="3.79310278522876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8008298755187"/>
          <c:y val="9.6551724137931033E-2"/>
          <c:w val="0.83609958506224069"/>
          <c:h val="0.68965517241379315"/>
        </c:manualLayout>
      </c:layout>
      <c:scatterChart>
        <c:scatterStyle val="lineMarker"/>
        <c:varyColors val="0"/>
        <c:ser>
          <c:idx val="1"/>
          <c:order val="0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Friesian!$E$13:$J$13</c:f>
              <c:numCache>
                <c:formatCode>General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</c:numCache>
            </c:numRef>
          </c:xVal>
          <c:yVal>
            <c:numRef>
              <c:f>Friesian!$E$12:$J$12</c:f>
              <c:numCache>
                <c:formatCode>General</c:formatCode>
                <c:ptCount val="6"/>
                <c:pt idx="0">
                  <c:v>30</c:v>
                </c:pt>
                <c:pt idx="1">
                  <c:v>87</c:v>
                </c:pt>
                <c:pt idx="2">
                  <c:v>138</c:v>
                </c:pt>
                <c:pt idx="3">
                  <c:v>218</c:v>
                </c:pt>
                <c:pt idx="4">
                  <c:v>254</c:v>
                </c:pt>
                <c:pt idx="5">
                  <c:v>260</c:v>
                </c:pt>
              </c:numCache>
            </c:numRef>
          </c:yVal>
          <c:smooth val="0"/>
        </c:ser>
        <c:ser>
          <c:idx val="2"/>
          <c:order val="1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Friesian!$E$9:$I$9</c:f>
              <c:numCache>
                <c:formatCode>General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2</c:v>
                </c:pt>
                <c:pt idx="3">
                  <c:v>4.5</c:v>
                </c:pt>
                <c:pt idx="4">
                  <c:v>15</c:v>
                </c:pt>
              </c:numCache>
            </c:numRef>
          </c:xVal>
          <c:yVal>
            <c:numRef>
              <c:f>Friesian!$E$8:$I$8</c:f>
              <c:numCache>
                <c:formatCode>General</c:formatCode>
                <c:ptCount val="5"/>
                <c:pt idx="0">
                  <c:v>30</c:v>
                </c:pt>
                <c:pt idx="1">
                  <c:v>155</c:v>
                </c:pt>
                <c:pt idx="2">
                  <c:v>380</c:v>
                </c:pt>
                <c:pt idx="3">
                  <c:v>650</c:v>
                </c:pt>
                <c:pt idx="4">
                  <c:v>650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8256"/>
        <c:axId val="52450816"/>
      </c:scatterChart>
      <c:valAx>
        <c:axId val="52448256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7551867219917"/>
              <c:y val="0.879310470806533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50816"/>
        <c:crosses val="autoZero"/>
        <c:crossBetween val="midCat"/>
        <c:majorUnit val="5"/>
      </c:valAx>
      <c:valAx>
        <c:axId val="52450816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20331950207469E-2"/>
              <c:y val="0.36206897214771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482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8423236514522821"/>
          <c:y val="0.70000019228365684"/>
          <c:w val="0.17012448132780078"/>
          <c:h val="0.134482805033986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CRTF (compensatory growth rate female)</a:t>
            </a:r>
          </a:p>
        </c:rich>
      </c:tx>
      <c:layout>
        <c:manualLayout>
          <c:xMode val="edge"/>
          <c:yMode val="edge"/>
          <c:x val="0.25518672752511012"/>
          <c:y val="3.7931034482758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22821576763487"/>
          <c:y val="9.6551724137931033E-2"/>
          <c:w val="0.82157676348547715"/>
          <c:h val="0.68965517241379315"/>
        </c:manualLayout>
      </c:layout>
      <c:scatterChart>
        <c:scatterStyle val="lineMarker"/>
        <c:varyColors val="0"/>
        <c:ser>
          <c:idx val="2"/>
          <c:order val="0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Friesian!$E$16:$K$16</c:f>
              <c:numCache>
                <c:formatCode>General</c:formatCode>
                <c:ptCount val="7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</c:numCache>
            </c:numRef>
          </c:xVal>
          <c:yVal>
            <c:numRef>
              <c:f>Friesian!$E$17:$K$17</c:f>
              <c:numCache>
                <c:formatCode>General</c:formatCode>
                <c:ptCount val="7"/>
                <c:pt idx="0">
                  <c:v>120</c:v>
                </c:pt>
                <c:pt idx="1">
                  <c:v>182.5</c:v>
                </c:pt>
                <c:pt idx="2">
                  <c:v>182.5</c:v>
                </c:pt>
                <c:pt idx="3">
                  <c:v>365</c:v>
                </c:pt>
                <c:pt idx="4">
                  <c:v>547.5</c:v>
                </c:pt>
                <c:pt idx="5">
                  <c:v>730</c:v>
                </c:pt>
                <c:pt idx="6">
                  <c:v>730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67200"/>
        <c:axId val="52469760"/>
      </c:scatterChart>
      <c:valAx>
        <c:axId val="524672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qm</a:t>
                </a:r>
              </a:p>
            </c:rich>
          </c:tx>
          <c:layout>
            <c:manualLayout>
              <c:xMode val="edge"/>
              <c:yMode val="edge"/>
              <c:x val="0.53319512889988063"/>
              <c:y val="0.879310344827586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69760"/>
        <c:crosses val="autoZero"/>
        <c:crossBetween val="midCat"/>
        <c:majorUnit val="0.2"/>
        <c:minorUnit val="0.1"/>
      </c:valAx>
      <c:valAx>
        <c:axId val="52469760"/>
        <c:scaling>
          <c:orientation val="minMax"/>
          <c:max val="1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2024391870185E-2"/>
              <c:y val="0.362068965517241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67200"/>
        <c:crosses val="autoZero"/>
        <c:crossBetween val="midCat"/>
        <c:majorUnit val="100"/>
        <c:minorUnit val="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CRTF (compensatory growth rate male)</a:t>
            </a:r>
          </a:p>
        </c:rich>
      </c:tx>
      <c:layout>
        <c:manualLayout>
          <c:xMode val="edge"/>
          <c:yMode val="edge"/>
          <c:x val="0.26708118006988257"/>
          <c:y val="3.78006872852233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92782925690115"/>
          <c:y val="9.6220254175573769E-2"/>
          <c:w val="0.82194783164271079"/>
          <c:h val="0.69072396747465459"/>
        </c:manualLayout>
      </c:layout>
      <c:scatterChart>
        <c:scatterStyle val="lineMarker"/>
        <c:varyColors val="0"/>
        <c:ser>
          <c:idx val="2"/>
          <c:order val="0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Friesian!$E$16:$K$16</c:f>
              <c:numCache>
                <c:formatCode>General</c:formatCode>
                <c:ptCount val="7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</c:numCache>
            </c:numRef>
          </c:xVal>
          <c:yVal>
            <c:numRef>
              <c:f>Friesian!$E$19:$K$19</c:f>
              <c:numCache>
                <c:formatCode>General</c:formatCode>
                <c:ptCount val="7"/>
                <c:pt idx="0">
                  <c:v>182.5</c:v>
                </c:pt>
                <c:pt idx="1">
                  <c:v>182.5</c:v>
                </c:pt>
                <c:pt idx="2">
                  <c:v>365</c:v>
                </c:pt>
                <c:pt idx="3">
                  <c:v>547.5</c:v>
                </c:pt>
                <c:pt idx="4">
                  <c:v>730</c:v>
                </c:pt>
                <c:pt idx="5">
                  <c:v>912.5</c:v>
                </c:pt>
                <c:pt idx="6">
                  <c:v>912.5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5504"/>
        <c:axId val="52492160"/>
      </c:scatterChart>
      <c:valAx>
        <c:axId val="5248550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qm</a:t>
                </a:r>
              </a:p>
            </c:rich>
          </c:tx>
          <c:layout>
            <c:manualLayout>
              <c:xMode val="edge"/>
              <c:yMode val="edge"/>
              <c:x val="0.53209218412915782"/>
              <c:y val="0.87972797214781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92160"/>
        <c:crosses val="autoZero"/>
        <c:crossBetween val="midCat"/>
        <c:majorUnit val="0.2"/>
        <c:minorUnit val="0.1"/>
      </c:valAx>
      <c:valAx>
        <c:axId val="52492160"/>
        <c:scaling>
          <c:orientation val="minMax"/>
          <c:max val="1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055900621118012E-2"/>
              <c:y val="0.360825824606975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485504"/>
        <c:crosses val="autoZero"/>
        <c:crossBetween val="midCat"/>
        <c:majorUnit val="100"/>
        <c:minorUnit val="2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REPR.CalvRate</a:t>
            </a:r>
          </a:p>
        </c:rich>
      </c:tx>
      <c:layout>
        <c:manualLayout>
          <c:xMode val="edge"/>
          <c:yMode val="edge"/>
          <c:x val="0.46376888372824365"/>
          <c:y val="3.09278350515463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1663657446254"/>
          <c:y val="9.6220254175573769E-2"/>
          <c:w val="0.83022942188596238"/>
          <c:h val="0.69072396747465459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Friesian!$E$23:$H$23</c:f>
              <c:numCache>
                <c:formatCode>General</c:formatCode>
                <c:ptCount val="4"/>
                <c:pt idx="0">
                  <c:v>1.5</c:v>
                </c:pt>
                <c:pt idx="1">
                  <c:v>3.5</c:v>
                </c:pt>
                <c:pt idx="2">
                  <c:v>8</c:v>
                </c:pt>
                <c:pt idx="3">
                  <c:v>15</c:v>
                </c:pt>
              </c:numCache>
            </c:numRef>
          </c:xVal>
          <c:yVal>
            <c:numRef>
              <c:f>Friesian!$E$22:$H$22</c:f>
              <c:numCache>
                <c:formatCode>General</c:formatCode>
                <c:ptCount val="4"/>
                <c:pt idx="0">
                  <c:v>0.75</c:v>
                </c:pt>
                <c:pt idx="1">
                  <c:v>1</c:v>
                </c:pt>
                <c:pt idx="2">
                  <c:v>1</c:v>
                </c:pt>
                <c:pt idx="3">
                  <c:v>0.625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7792"/>
        <c:axId val="52588544"/>
      </c:scatterChart>
      <c:valAx>
        <c:axId val="52577792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9068422898750563"/>
              <c:y val="0.879727972147811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88544"/>
        <c:crosses val="autoZero"/>
        <c:crossBetween val="midCat"/>
        <c:majorUnit val="5"/>
        <c:minorUnit val="0.1"/>
      </c:valAx>
      <c:valAx>
        <c:axId val="52588544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Calving rate (%)</a:t>
                </a:r>
              </a:p>
            </c:rich>
          </c:tx>
          <c:layout>
            <c:manualLayout>
              <c:xMode val="edge"/>
              <c:yMode val="edge"/>
              <c:x val="3.1056037350169936E-2"/>
              <c:y val="0.288660876153367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77792"/>
        <c:crosses val="autoZero"/>
        <c:crossBetween val="midCat"/>
        <c:majorUnit val="0.25"/>
        <c:min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LACT.MlilkRate</a:t>
            </a:r>
          </a:p>
        </c:rich>
      </c:tx>
      <c:layout>
        <c:manualLayout>
          <c:xMode val="edge"/>
          <c:yMode val="edge"/>
          <c:x val="0.4628104551447198"/>
          <c:y val="3.082191780821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6282450811163"/>
          <c:y val="9.5890571306739794E-2"/>
          <c:w val="0.82231487917548984"/>
          <c:h val="0.69178197871290859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Friesian!$E$34:$G$34</c:f>
              <c:numCache>
                <c:formatCode>0.00E+00</c:formatCode>
                <c:ptCount val="3"/>
                <c:pt idx="0" formatCode="General">
                  <c:v>0</c:v>
                </c:pt>
                <c:pt idx="1">
                  <c:v>8.3333333333333301E-2</c:v>
                </c:pt>
                <c:pt idx="2" formatCode="General">
                  <c:v>1</c:v>
                </c:pt>
              </c:numCache>
            </c:numRef>
          </c:xVal>
          <c:yVal>
            <c:numRef>
              <c:f>Friesian!$E$33:$G$33</c:f>
              <c:numCache>
                <c:formatCode>General</c:formatCode>
                <c:ptCount val="3"/>
                <c:pt idx="0">
                  <c:v>7300</c:v>
                </c:pt>
                <c:pt idx="1">
                  <c:v>7300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00192"/>
        <c:axId val="52606848"/>
      </c:scatterChart>
      <c:valAx>
        <c:axId val="5260019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Lactation phase (year)</a:t>
                </a:r>
              </a:p>
            </c:rich>
          </c:tx>
          <c:layout>
            <c:manualLayout>
              <c:xMode val="edge"/>
              <c:yMode val="edge"/>
              <c:x val="0.42562018457370243"/>
              <c:y val="0.880138424477762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06848"/>
        <c:crosses val="autoZero"/>
        <c:crossBetween val="midCat"/>
        <c:majorUnit val="0.5"/>
        <c:minorUnit val="0.1"/>
      </c:valAx>
      <c:valAx>
        <c:axId val="52606848"/>
        <c:scaling>
          <c:orientation val="minMax"/>
          <c:max val="8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Milk rate (kg/year)</a:t>
                </a:r>
              </a:p>
            </c:rich>
          </c:tx>
          <c:layout>
            <c:manualLayout>
              <c:xMode val="edge"/>
              <c:yMode val="edge"/>
              <c:x val="3.099169055480968E-2"/>
              <c:y val="0.263698989681084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00192"/>
        <c:crosses val="autoZero"/>
        <c:crossBetween val="midCat"/>
        <c:majorUnit val="2000"/>
        <c:minorUnit val="16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Female</a:t>
            </a:r>
          </a:p>
        </c:rich>
      </c:tx>
      <c:layout>
        <c:manualLayout>
          <c:xMode val="edge"/>
          <c:yMode val="edge"/>
          <c:x val="0.31808753635525289"/>
          <c:y val="3.80621979448140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05626812657156"/>
          <c:y val="9.6885976842926921E-2"/>
          <c:w val="0.83575968417002766"/>
          <c:h val="0.68858247827651631"/>
        </c:manualLayout>
      </c:layout>
      <c:scatterChart>
        <c:scatterStyle val="lineMarker"/>
        <c:varyColors val="0"/>
        <c:ser>
          <c:idx val="0"/>
          <c:order val="0"/>
          <c:tx>
            <c:v>Feasible set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Mere!$E$25:$K$25</c:f>
              <c:numCache>
                <c:formatCode>General</c:formatCode>
                <c:ptCount val="7"/>
                <c:pt idx="0">
                  <c:v>3.5</c:v>
                </c:pt>
                <c:pt idx="1">
                  <c:v>4.2300000000000004</c:v>
                </c:pt>
                <c:pt idx="2">
                  <c:v>5</c:v>
                </c:pt>
                <c:pt idx="3">
                  <c:v>6.1</c:v>
                </c:pt>
                <c:pt idx="4">
                  <c:v>12</c:v>
                </c:pt>
                <c:pt idx="5">
                  <c:v>13</c:v>
                </c:pt>
                <c:pt idx="6">
                  <c:v>20</c:v>
                </c:pt>
              </c:numCache>
            </c:numRef>
          </c:xVal>
          <c:yVal>
            <c:numRef>
              <c:f>Mere!$E$24:$K$24</c:f>
              <c:numCache>
                <c:formatCode>General</c:formatCode>
                <c:ptCount val="7"/>
                <c:pt idx="0">
                  <c:v>230</c:v>
                </c:pt>
                <c:pt idx="1">
                  <c:v>169</c:v>
                </c:pt>
                <c:pt idx="2">
                  <c:v>115</c:v>
                </c:pt>
                <c:pt idx="3">
                  <c:v>110</c:v>
                </c:pt>
                <c:pt idx="4">
                  <c:v>120</c:v>
                </c:pt>
                <c:pt idx="5">
                  <c:v>140</c:v>
                </c:pt>
                <c:pt idx="6">
                  <c:v>145</c:v>
                </c:pt>
              </c:numCache>
            </c:numRef>
          </c:yVal>
          <c:smooth val="0"/>
        </c:ser>
        <c:ser>
          <c:idx val="1"/>
          <c:order val="1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Mere!$E$13:$K$13</c:f>
              <c:numCache>
                <c:formatCode>General</c:formatCode>
                <c:ptCount val="7"/>
                <c:pt idx="0">
                  <c:v>0</c:v>
                </c:pt>
                <c:pt idx="1">
                  <c:v>1.4</c:v>
                </c:pt>
                <c:pt idx="2">
                  <c:v>3.1</c:v>
                </c:pt>
                <c:pt idx="3">
                  <c:v>4.0999999999999996</c:v>
                </c:pt>
                <c:pt idx="4">
                  <c:v>6.1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Mere!$E$12:$K$12</c:f>
              <c:numCache>
                <c:formatCode>General</c:formatCode>
                <c:ptCount val="7"/>
                <c:pt idx="0">
                  <c:v>18</c:v>
                </c:pt>
                <c:pt idx="1">
                  <c:v>40</c:v>
                </c:pt>
                <c:pt idx="2">
                  <c:v>65</c:v>
                </c:pt>
                <c:pt idx="3">
                  <c:v>78</c:v>
                </c:pt>
                <c:pt idx="4">
                  <c:v>95</c:v>
                </c:pt>
                <c:pt idx="5">
                  <c:v>130</c:v>
                </c:pt>
                <c:pt idx="6">
                  <c:v>140</c:v>
                </c:pt>
              </c:numCache>
            </c:numRef>
          </c:yVal>
          <c:smooth val="0"/>
        </c:ser>
        <c:ser>
          <c:idx val="2"/>
          <c:order val="2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Mere!$E$7:$K$7</c:f>
              <c:numCache>
                <c:formatCode>General</c:formatCode>
                <c:ptCount val="7"/>
                <c:pt idx="0">
                  <c:v>0</c:v>
                </c:pt>
                <c:pt idx="1">
                  <c:v>1.4</c:v>
                </c:pt>
                <c:pt idx="2">
                  <c:v>3.1</c:v>
                </c:pt>
                <c:pt idx="3">
                  <c:v>4.0999999999999996</c:v>
                </c:pt>
                <c:pt idx="4">
                  <c:v>6.1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Mere!$E$6:$K$6</c:f>
              <c:numCache>
                <c:formatCode>General</c:formatCode>
                <c:ptCount val="7"/>
                <c:pt idx="0">
                  <c:v>30</c:v>
                </c:pt>
                <c:pt idx="1">
                  <c:v>139</c:v>
                </c:pt>
                <c:pt idx="2">
                  <c:v>214</c:v>
                </c:pt>
                <c:pt idx="3">
                  <c:v>255</c:v>
                </c:pt>
                <c:pt idx="4">
                  <c:v>280</c:v>
                </c:pt>
                <c:pt idx="5">
                  <c:v>300</c:v>
                </c:pt>
                <c:pt idx="6">
                  <c:v>300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77056"/>
        <c:axId val="53279360"/>
      </c:scatterChart>
      <c:valAx>
        <c:axId val="53277056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856592510135816"/>
              <c:y val="0.878894344848960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279360"/>
        <c:crosses val="autoZero"/>
        <c:crossBetween val="midCat"/>
        <c:majorUnit val="5"/>
      </c:valAx>
      <c:valAx>
        <c:axId val="53279360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85031185031187E-2"/>
              <c:y val="0.359862083660206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2770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422043970075467"/>
          <c:y val="0.12802781571122798"/>
          <c:w val="0.22661144487916141"/>
          <c:h val="0.2006922935371085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Male</a:t>
            </a:r>
          </a:p>
        </c:rich>
      </c:tx>
      <c:layout>
        <c:manualLayout>
          <c:xMode val="edge"/>
          <c:yMode val="edge"/>
          <c:x val="0.33195020746887965"/>
          <c:y val="3.79310278522876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8008298755187"/>
          <c:y val="9.6551724137931033E-2"/>
          <c:w val="0.83609958506224069"/>
          <c:h val="0.68965517241379315"/>
        </c:manualLayout>
      </c:layout>
      <c:scatterChart>
        <c:scatterStyle val="lineMarker"/>
        <c:varyColors val="0"/>
        <c:ser>
          <c:idx val="1"/>
          <c:order val="0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Mere!$E$13:$K$13</c:f>
              <c:numCache>
                <c:formatCode>General</c:formatCode>
                <c:ptCount val="7"/>
                <c:pt idx="0">
                  <c:v>0</c:v>
                </c:pt>
                <c:pt idx="1">
                  <c:v>1.4</c:v>
                </c:pt>
                <c:pt idx="2">
                  <c:v>3.1</c:v>
                </c:pt>
                <c:pt idx="3">
                  <c:v>4.0999999999999996</c:v>
                </c:pt>
                <c:pt idx="4">
                  <c:v>6.1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Mere!$E$12:$K$12</c:f>
              <c:numCache>
                <c:formatCode>General</c:formatCode>
                <c:ptCount val="7"/>
                <c:pt idx="0">
                  <c:v>18</c:v>
                </c:pt>
                <c:pt idx="1">
                  <c:v>40</c:v>
                </c:pt>
                <c:pt idx="2">
                  <c:v>65</c:v>
                </c:pt>
                <c:pt idx="3">
                  <c:v>78</c:v>
                </c:pt>
                <c:pt idx="4">
                  <c:v>95</c:v>
                </c:pt>
                <c:pt idx="5">
                  <c:v>130</c:v>
                </c:pt>
                <c:pt idx="6">
                  <c:v>140</c:v>
                </c:pt>
              </c:numCache>
            </c:numRef>
          </c:yVal>
          <c:smooth val="0"/>
        </c:ser>
        <c:ser>
          <c:idx val="2"/>
          <c:order val="1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Mere!$E$9:$K$9</c:f>
              <c:numCache>
                <c:formatCode>General</c:formatCode>
                <c:ptCount val="7"/>
                <c:pt idx="0">
                  <c:v>0</c:v>
                </c:pt>
                <c:pt idx="1">
                  <c:v>2.1</c:v>
                </c:pt>
                <c:pt idx="2">
                  <c:v>4.0999999999999996</c:v>
                </c:pt>
                <c:pt idx="3">
                  <c:v>6.7</c:v>
                </c:pt>
                <c:pt idx="4">
                  <c:v>9.1</c:v>
                </c:pt>
                <c:pt idx="5">
                  <c:v>12</c:v>
                </c:pt>
                <c:pt idx="6">
                  <c:v>20</c:v>
                </c:pt>
              </c:numCache>
            </c:numRef>
          </c:xVal>
          <c:yVal>
            <c:numRef>
              <c:f>Mere!$E$8:$K$8</c:f>
              <c:numCache>
                <c:formatCode>General</c:formatCode>
                <c:ptCount val="7"/>
                <c:pt idx="0">
                  <c:v>30</c:v>
                </c:pt>
                <c:pt idx="1">
                  <c:v>159</c:v>
                </c:pt>
                <c:pt idx="2">
                  <c:v>280</c:v>
                </c:pt>
                <c:pt idx="3">
                  <c:v>345</c:v>
                </c:pt>
                <c:pt idx="4">
                  <c:v>388</c:v>
                </c:pt>
                <c:pt idx="5">
                  <c:v>400</c:v>
                </c:pt>
                <c:pt idx="6">
                  <c:v>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9024"/>
        <c:axId val="53491584"/>
      </c:scatterChart>
      <c:valAx>
        <c:axId val="53489024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7551867219917"/>
              <c:y val="0.8793104708065336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91584"/>
        <c:crosses val="autoZero"/>
        <c:crossBetween val="midCat"/>
        <c:majorUnit val="5"/>
      </c:valAx>
      <c:valAx>
        <c:axId val="53491584"/>
        <c:scaling>
          <c:orientation val="minMax"/>
          <c:max val="7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20331950207469E-2"/>
              <c:y val="0.36206897214771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890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614107883817427"/>
          <c:y val="9.6551777181698453E-2"/>
          <c:w val="0.17012448132780078"/>
          <c:h val="0.134482805033986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LACT.MlilkRate</a:t>
            </a:r>
          </a:p>
        </c:rich>
      </c:tx>
      <c:layout>
        <c:manualLayout>
          <c:xMode val="edge"/>
          <c:yMode val="edge"/>
          <c:x val="0.46281035118544067"/>
          <c:y val="3.082191780821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6282450811163"/>
          <c:y val="9.5890571306739794E-2"/>
          <c:w val="0.82231487917548984"/>
          <c:h val="0.69178197871290859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Mere!$E$34:$H$34</c:f>
              <c:numCache>
                <c:formatCode>General</c:formatCode>
                <c:ptCount val="4"/>
                <c:pt idx="0">
                  <c:v>0</c:v>
                </c:pt>
                <c:pt idx="1">
                  <c:v>0.16666666666666699</c:v>
                </c:pt>
                <c:pt idx="2">
                  <c:v>0.75</c:v>
                </c:pt>
                <c:pt idx="3">
                  <c:v>1.5</c:v>
                </c:pt>
              </c:numCache>
            </c:numRef>
          </c:xVal>
          <c:yVal>
            <c:numRef>
              <c:f>Mere!$E$33:$H$33</c:f>
              <c:numCache>
                <c:formatCode>General</c:formatCode>
                <c:ptCount val="4"/>
                <c:pt idx="0">
                  <c:v>2200</c:v>
                </c:pt>
                <c:pt idx="1">
                  <c:v>2200</c:v>
                </c:pt>
                <c:pt idx="2">
                  <c:v>1250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16160"/>
        <c:axId val="53522816"/>
      </c:scatterChart>
      <c:valAx>
        <c:axId val="53516160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Lactation phase (year)</a:t>
                </a:r>
              </a:p>
            </c:rich>
          </c:tx>
          <c:layout>
            <c:manualLayout>
              <c:xMode val="edge"/>
              <c:yMode val="edge"/>
              <c:x val="0.42562026854081253"/>
              <c:y val="0.880138424477762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22816"/>
        <c:crosses val="autoZero"/>
        <c:crossBetween val="midCat"/>
        <c:majorUnit val="0.5"/>
        <c:minorUnit val="0.1"/>
      </c:valAx>
      <c:valAx>
        <c:axId val="53522816"/>
        <c:scaling>
          <c:orientation val="minMax"/>
          <c:max val="8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Milk rate (kg/year)</a:t>
                </a:r>
              </a:p>
            </c:rich>
          </c:tx>
          <c:layout>
            <c:manualLayout>
              <c:xMode val="edge"/>
              <c:yMode val="edge"/>
              <c:x val="3.0991735537190084E-2"/>
              <c:y val="0.263698989681084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16160"/>
        <c:crosses val="autoZero"/>
        <c:crossBetween val="midCat"/>
        <c:majorUnit val="2000"/>
        <c:minorUnit val="16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Potential growth curve Female</a:t>
            </a:r>
          </a:p>
        </c:rich>
      </c:tx>
      <c:layout>
        <c:manualLayout>
          <c:xMode val="edge"/>
          <c:yMode val="edge"/>
          <c:x val="0.31808753635525289"/>
          <c:y val="3.80621979448140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305626812657156"/>
          <c:y val="0.10034619030160288"/>
          <c:w val="0.83575968417002766"/>
          <c:h val="0.68166205135916447"/>
        </c:manualLayout>
      </c:layout>
      <c:scatterChart>
        <c:scatterStyle val="lineMarker"/>
        <c:varyColors val="0"/>
        <c:ser>
          <c:idx val="0"/>
          <c:order val="0"/>
          <c:tx>
            <c:v>Feasible set</c:v>
          </c:tx>
          <c:spPr>
            <a:ln w="12700">
              <a:solidFill>
                <a:srgbClr val="008000"/>
              </a:solidFill>
              <a:prstDash val="lgDashDotDot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Azawak!$E$25:$K$25</c:f>
              <c:numCache>
                <c:formatCode>0.0</c:formatCode>
                <c:ptCount val="7"/>
                <c:pt idx="0">
                  <c:v>2.65</c:v>
                </c:pt>
                <c:pt idx="1">
                  <c:v>3.4</c:v>
                </c:pt>
                <c:pt idx="2">
                  <c:v>5.8</c:v>
                </c:pt>
                <c:pt idx="3">
                  <c:v>7</c:v>
                </c:pt>
                <c:pt idx="4">
                  <c:v>12</c:v>
                </c:pt>
                <c:pt idx="5">
                  <c:v>13</c:v>
                </c:pt>
                <c:pt idx="6" formatCode="0.000">
                  <c:v>15</c:v>
                </c:pt>
              </c:numCache>
            </c:numRef>
          </c:xVal>
          <c:yVal>
            <c:numRef>
              <c:f>Azawak!$E$24:$K$24</c:f>
              <c:numCache>
                <c:formatCode>0</c:formatCode>
                <c:ptCount val="7"/>
                <c:pt idx="0">
                  <c:v>260</c:v>
                </c:pt>
                <c:pt idx="1">
                  <c:v>193</c:v>
                </c:pt>
                <c:pt idx="2">
                  <c:v>137</c:v>
                </c:pt>
                <c:pt idx="3">
                  <c:v>140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</c:numCache>
            </c:numRef>
          </c:yVal>
          <c:smooth val="0"/>
        </c:ser>
        <c:ser>
          <c:idx val="1"/>
          <c:order val="1"/>
          <c:tx>
            <c:v>Minimum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Azawak!$E$13:$K$13</c:f>
              <c:numCache>
                <c:formatCode>0.0</c:formatCode>
                <c:ptCount val="7"/>
                <c:pt idx="0">
                  <c:v>0</c:v>
                </c:pt>
                <c:pt idx="1">
                  <c:v>1.4</c:v>
                </c:pt>
                <c:pt idx="2">
                  <c:v>2.89</c:v>
                </c:pt>
                <c:pt idx="3">
                  <c:v>4.63</c:v>
                </c:pt>
                <c:pt idx="4">
                  <c:v>7</c:v>
                </c:pt>
                <c:pt idx="5" formatCode="0">
                  <c:v>12</c:v>
                </c:pt>
                <c:pt idx="6" formatCode="0">
                  <c:v>15</c:v>
                </c:pt>
              </c:numCache>
            </c:numRef>
          </c:xVal>
          <c:yVal>
            <c:numRef>
              <c:f>Azawak!$E$12:$K$12</c:f>
              <c:numCache>
                <c:formatCode>0</c:formatCode>
                <c:ptCount val="7"/>
                <c:pt idx="0">
                  <c:v>30</c:v>
                </c:pt>
                <c:pt idx="1">
                  <c:v>63</c:v>
                </c:pt>
                <c:pt idx="2">
                  <c:v>102</c:v>
                </c:pt>
                <c:pt idx="3">
                  <c:v>132</c:v>
                </c:pt>
                <c:pt idx="4">
                  <c:v>140</c:v>
                </c:pt>
                <c:pt idx="5">
                  <c:v>144</c:v>
                </c:pt>
                <c:pt idx="6">
                  <c:v>144</c:v>
                </c:pt>
              </c:numCache>
            </c:numRef>
          </c:yVal>
          <c:smooth val="0"/>
        </c:ser>
        <c:ser>
          <c:idx val="2"/>
          <c:order val="2"/>
          <c:tx>
            <c:v>maximum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Azawak!$E$7:$K$7</c:f>
              <c:numCache>
                <c:formatCode>0.0</c:formatCode>
                <c:ptCount val="7"/>
                <c:pt idx="0">
                  <c:v>0</c:v>
                </c:pt>
                <c:pt idx="1">
                  <c:v>1.04</c:v>
                </c:pt>
                <c:pt idx="2">
                  <c:v>2.2000000000000002</c:v>
                </c:pt>
                <c:pt idx="3">
                  <c:v>3.62</c:v>
                </c:pt>
                <c:pt idx="4">
                  <c:v>6.1</c:v>
                </c:pt>
                <c:pt idx="5" formatCode="0">
                  <c:v>12</c:v>
                </c:pt>
                <c:pt idx="6" formatCode="0">
                  <c:v>15</c:v>
                </c:pt>
              </c:numCache>
            </c:numRef>
          </c:xVal>
          <c:yVal>
            <c:numRef>
              <c:f>Azawak!$E$6:$K$6</c:f>
              <c:numCache>
                <c:formatCode>0</c:formatCode>
                <c:ptCount val="7"/>
                <c:pt idx="0">
                  <c:v>30</c:v>
                </c:pt>
                <c:pt idx="1">
                  <c:v>139</c:v>
                </c:pt>
                <c:pt idx="2">
                  <c:v>236</c:v>
                </c:pt>
                <c:pt idx="3">
                  <c:v>317</c:v>
                </c:pt>
                <c:pt idx="4">
                  <c:v>348</c:v>
                </c:pt>
                <c:pt idx="5">
                  <c:v>350</c:v>
                </c:pt>
                <c:pt idx="6">
                  <c:v>350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8944"/>
        <c:axId val="53625600"/>
      </c:scatterChart>
      <c:valAx>
        <c:axId val="53618944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 (year)</a:t>
                </a:r>
              </a:p>
            </c:rich>
          </c:tx>
          <c:layout>
            <c:manualLayout>
              <c:xMode val="edge"/>
              <c:yMode val="edge"/>
              <c:x val="0.48856592510135816"/>
              <c:y val="0.875434039379763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25600"/>
        <c:crosses val="autoZero"/>
        <c:crossBetween val="midCat"/>
        <c:majorUnit val="1"/>
      </c:valAx>
      <c:valAx>
        <c:axId val="53625600"/>
        <c:scaling>
          <c:orientation val="minMax"/>
          <c:max val="5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BW (kg)</a:t>
                </a:r>
              </a:p>
            </c:rich>
          </c:tx>
          <c:layout>
            <c:manualLayout>
              <c:xMode val="edge"/>
              <c:yMode val="edge"/>
              <c:x val="3.1185031185031187E-2"/>
              <c:y val="0.359862083660206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189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4844140324455288"/>
          <c:y val="1.7301139940533266E-2"/>
          <c:w val="0.22661144487916141"/>
          <c:h val="0.200692293537108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LACT.MlilkRate</a:t>
            </a:r>
          </a:p>
        </c:rich>
      </c:tx>
      <c:layout>
        <c:manualLayout>
          <c:xMode val="edge"/>
          <c:yMode val="edge"/>
          <c:x val="0.46281035118544067"/>
          <c:y val="3.08219178082191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82659844173557"/>
          <c:y val="9.5890571306739794E-2"/>
          <c:w val="0.8161165258148706"/>
          <c:h val="0.68835731545195356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99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Mere!$E$34:$H$34</c:f>
              <c:numCache>
                <c:formatCode>General</c:formatCode>
                <c:ptCount val="4"/>
                <c:pt idx="0">
                  <c:v>0</c:v>
                </c:pt>
                <c:pt idx="1">
                  <c:v>0.16666666666666699</c:v>
                </c:pt>
                <c:pt idx="2">
                  <c:v>0.75</c:v>
                </c:pt>
                <c:pt idx="3">
                  <c:v>1.5</c:v>
                </c:pt>
              </c:numCache>
            </c:numRef>
          </c:xVal>
          <c:yVal>
            <c:numRef>
              <c:f>Mere!$E$33:$H$33</c:f>
              <c:numCache>
                <c:formatCode>General</c:formatCode>
                <c:ptCount val="4"/>
                <c:pt idx="0">
                  <c:v>2200</c:v>
                </c:pt>
                <c:pt idx="1">
                  <c:v>2200</c:v>
                </c:pt>
                <c:pt idx="2">
                  <c:v>1250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50176"/>
        <c:axId val="53652480"/>
      </c:scatterChart>
      <c:valAx>
        <c:axId val="53650176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Lactation phase (year)</a:t>
                </a:r>
              </a:p>
            </c:rich>
          </c:tx>
          <c:layout>
            <c:manualLayout>
              <c:xMode val="edge"/>
              <c:yMode val="edge"/>
              <c:x val="0.42768638424329186"/>
              <c:y val="0.876713766943515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52480"/>
        <c:crosses val="autoZero"/>
        <c:crossBetween val="midCat"/>
        <c:majorUnit val="0.5"/>
        <c:minorUnit val="0.1"/>
      </c:valAx>
      <c:valAx>
        <c:axId val="53652480"/>
        <c:scaling>
          <c:orientation val="minMax"/>
          <c:max val="80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Milk rate (kg/year)</a:t>
                </a:r>
              </a:p>
            </c:rich>
          </c:tx>
          <c:layout>
            <c:manualLayout>
              <c:xMode val="edge"/>
              <c:yMode val="edge"/>
              <c:x val="3.71900826446281E-2"/>
              <c:y val="0.260274332146837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50176"/>
        <c:crosses val="autoZero"/>
        <c:crossBetween val="midCat"/>
        <c:majorUnit val="2000"/>
        <c:minorUnit val="16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152400</xdr:rowOff>
        </xdr:from>
        <xdr:to>
          <xdr:col>14</xdr:col>
          <xdr:colOff>9525</xdr:colOff>
          <xdr:row>4</xdr:row>
          <xdr:rowOff>47625</xdr:rowOff>
        </xdr:to>
        <xdr:sp macro="" textlink="">
          <xdr:nvSpPr>
            <xdr:cNvPr id="1449985" name="Button 1" hidden="1">
              <a:extLst>
                <a:ext uri="{63B3BB69-23CF-44E3-9099-C40C66FF867C}">
                  <a14:compatExt spid="_x0000_s144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input files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19</xdr:col>
      <xdr:colOff>9525</xdr:colOff>
      <xdr:row>15</xdr:row>
      <xdr:rowOff>152400</xdr:rowOff>
    </xdr:to>
    <xdr:graphicFrame macro="">
      <xdr:nvGraphicFramePr>
        <xdr:cNvPr id="75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19050</xdr:colOff>
      <xdr:row>16</xdr:row>
      <xdr:rowOff>9525</xdr:rowOff>
    </xdr:to>
    <xdr:graphicFrame macro="">
      <xdr:nvGraphicFramePr>
        <xdr:cNvPr id="759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342900</xdr:colOff>
      <xdr:row>17</xdr:row>
      <xdr:rowOff>0</xdr:rowOff>
    </xdr:from>
    <xdr:to>
      <xdr:col>19</xdr:col>
      <xdr:colOff>381000</xdr:colOff>
      <xdr:row>34</xdr:row>
      <xdr:rowOff>28575</xdr:rowOff>
    </xdr:to>
    <xdr:graphicFrame macro="">
      <xdr:nvGraphicFramePr>
        <xdr:cNvPr id="75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20</xdr:col>
      <xdr:colOff>9525</xdr:colOff>
      <xdr:row>15</xdr:row>
      <xdr:rowOff>152400</xdr:rowOff>
    </xdr:to>
    <xdr:graphicFrame macro="">
      <xdr:nvGraphicFramePr>
        <xdr:cNvPr id="86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26</xdr:col>
      <xdr:colOff>19050</xdr:colOff>
      <xdr:row>16</xdr:row>
      <xdr:rowOff>9525</xdr:rowOff>
    </xdr:to>
    <xdr:graphicFrame macro="">
      <xdr:nvGraphicFramePr>
        <xdr:cNvPr id="861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342900</xdr:colOff>
      <xdr:row>18</xdr:row>
      <xdr:rowOff>114300</xdr:rowOff>
    </xdr:from>
    <xdr:to>
      <xdr:col>20</xdr:col>
      <xdr:colOff>381000</xdr:colOff>
      <xdr:row>35</xdr:row>
      <xdr:rowOff>142875</xdr:rowOff>
    </xdr:to>
    <xdr:graphicFrame macro="">
      <xdr:nvGraphicFramePr>
        <xdr:cNvPr id="861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0</xdr:row>
      <xdr:rowOff>0</xdr:rowOff>
    </xdr:from>
    <xdr:to>
      <xdr:col>19</xdr:col>
      <xdr:colOff>323850</xdr:colOff>
      <xdr:row>15</xdr:row>
      <xdr:rowOff>152400</xdr:rowOff>
    </xdr:to>
    <xdr:graphicFrame macro="">
      <xdr:nvGraphicFramePr>
        <xdr:cNvPr id="391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447675</xdr:colOff>
      <xdr:row>0</xdr:row>
      <xdr:rowOff>0</xdr:rowOff>
    </xdr:from>
    <xdr:to>
      <xdr:col>25</xdr:col>
      <xdr:colOff>466725</xdr:colOff>
      <xdr:row>16</xdr:row>
      <xdr:rowOff>9525</xdr:rowOff>
    </xdr:to>
    <xdr:graphicFrame macro="">
      <xdr:nvGraphicFramePr>
        <xdr:cNvPr id="391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123825</xdr:colOff>
      <xdr:row>16</xdr:row>
      <xdr:rowOff>19050</xdr:rowOff>
    </xdr:from>
    <xdr:to>
      <xdr:col>19</xdr:col>
      <xdr:colOff>438150</xdr:colOff>
      <xdr:row>33</xdr:row>
      <xdr:rowOff>28575</xdr:rowOff>
    </xdr:to>
    <xdr:graphicFrame macro="">
      <xdr:nvGraphicFramePr>
        <xdr:cNvPr id="3917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552450</xdr:colOff>
      <xdr:row>15</xdr:row>
      <xdr:rowOff>123825</xdr:rowOff>
    </xdr:from>
    <xdr:to>
      <xdr:col>25</xdr:col>
      <xdr:colOff>581025</xdr:colOff>
      <xdr:row>32</xdr:row>
      <xdr:rowOff>142875</xdr:rowOff>
    </xdr:to>
    <xdr:graphicFrame macro="">
      <xdr:nvGraphicFramePr>
        <xdr:cNvPr id="3918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104775</xdr:colOff>
      <xdr:row>33</xdr:row>
      <xdr:rowOff>123825</xdr:rowOff>
    </xdr:from>
    <xdr:to>
      <xdr:col>19</xdr:col>
      <xdr:colOff>428625</xdr:colOff>
      <xdr:row>50</xdr:row>
      <xdr:rowOff>142875</xdr:rowOff>
    </xdr:to>
    <xdr:graphicFrame macro="">
      <xdr:nvGraphicFramePr>
        <xdr:cNvPr id="3919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714375</xdr:colOff>
      <xdr:row>33</xdr:row>
      <xdr:rowOff>0</xdr:rowOff>
    </xdr:from>
    <xdr:to>
      <xdr:col>25</xdr:col>
      <xdr:colOff>276225</xdr:colOff>
      <xdr:row>50</xdr:row>
      <xdr:rowOff>28575</xdr:rowOff>
    </xdr:to>
    <xdr:graphicFrame macro="">
      <xdr:nvGraphicFramePr>
        <xdr:cNvPr id="3920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20</xdr:col>
      <xdr:colOff>9525</xdr:colOff>
      <xdr:row>15</xdr:row>
      <xdr:rowOff>152400</xdr:rowOff>
    </xdr:to>
    <xdr:graphicFrame macro="">
      <xdr:nvGraphicFramePr>
        <xdr:cNvPr id="1066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26</xdr:col>
      <xdr:colOff>19050</xdr:colOff>
      <xdr:row>16</xdr:row>
      <xdr:rowOff>9525</xdr:rowOff>
    </xdr:to>
    <xdr:graphicFrame macro="">
      <xdr:nvGraphicFramePr>
        <xdr:cNvPr id="1066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133350</xdr:colOff>
      <xdr:row>16</xdr:row>
      <xdr:rowOff>152400</xdr:rowOff>
    </xdr:from>
    <xdr:to>
      <xdr:col>20</xdr:col>
      <xdr:colOff>171450</xdr:colOff>
      <xdr:row>34</xdr:row>
      <xdr:rowOff>19050</xdr:rowOff>
    </xdr:to>
    <xdr:graphicFrame macro="">
      <xdr:nvGraphicFramePr>
        <xdr:cNvPr id="1066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20</xdr:col>
      <xdr:colOff>9525</xdr:colOff>
      <xdr:row>15</xdr:row>
      <xdr:rowOff>152400</xdr:rowOff>
    </xdr:to>
    <xdr:graphicFrame macro="">
      <xdr:nvGraphicFramePr>
        <xdr:cNvPr id="1359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752475</xdr:colOff>
      <xdr:row>17</xdr:row>
      <xdr:rowOff>9525</xdr:rowOff>
    </xdr:from>
    <xdr:to>
      <xdr:col>20</xdr:col>
      <xdr:colOff>28575</xdr:colOff>
      <xdr:row>34</xdr:row>
      <xdr:rowOff>38100</xdr:rowOff>
    </xdr:to>
    <xdr:graphicFrame macro="">
      <xdr:nvGraphicFramePr>
        <xdr:cNvPr id="1360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erome/nuances/FARMSIM/FARMSI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SIM"/>
      <sheetName val="Climate"/>
      <sheetName val="LIVSIM"/>
      <sheetName val="LIVSIM_PARAM"/>
      <sheetName val="FIELD"/>
      <sheetName val="FIELD_PARAM"/>
      <sheetName val="HEAPSIM"/>
      <sheetName val="Feuil5"/>
      <sheetName val="Feuil4"/>
      <sheetName val="Feuil2"/>
    </sheetNames>
    <sheetDataSet>
      <sheetData sheetId="0" refreshError="1"/>
      <sheetData sheetId="1" refreshError="1"/>
      <sheetData sheetId="2" refreshError="1"/>
      <sheetData sheetId="3">
        <row r="5">
          <cell r="D5" t="str">
            <v>value</v>
          </cell>
        </row>
        <row r="6">
          <cell r="D6">
            <v>1E-3</v>
          </cell>
        </row>
        <row r="7">
          <cell r="D7">
            <v>365</v>
          </cell>
        </row>
        <row r="8">
          <cell r="D8">
            <v>12</v>
          </cell>
        </row>
        <row r="14">
          <cell r="D14" t="str">
            <v>value</v>
          </cell>
        </row>
        <row r="15">
          <cell r="D15">
            <v>0.03</v>
          </cell>
        </row>
        <row r="16">
          <cell r="D16">
            <v>650</v>
          </cell>
        </row>
        <row r="17">
          <cell r="D17">
            <v>500</v>
          </cell>
        </row>
        <row r="18">
          <cell r="D18">
            <v>30</v>
          </cell>
        </row>
        <row r="19">
          <cell r="D19">
            <v>0</v>
          </cell>
        </row>
        <row r="20">
          <cell r="D20">
            <v>30</v>
          </cell>
        </row>
        <row r="21">
          <cell r="D21">
            <v>0</v>
          </cell>
        </row>
        <row r="22">
          <cell r="D22">
            <v>30</v>
          </cell>
        </row>
        <row r="23">
          <cell r="D23">
            <v>0</v>
          </cell>
        </row>
        <row r="24">
          <cell r="D24">
            <v>30</v>
          </cell>
        </row>
        <row r="25">
          <cell r="D25">
            <v>0</v>
          </cell>
        </row>
        <row r="26">
          <cell r="D26">
            <v>256</v>
          </cell>
        </row>
        <row r="27">
          <cell r="D27">
            <v>0</v>
          </cell>
        </row>
        <row r="28">
          <cell r="D28">
            <v>282</v>
          </cell>
        </row>
        <row r="29">
          <cell r="D29">
            <v>1</v>
          </cell>
        </row>
        <row r="30">
          <cell r="D30">
            <v>0.75</v>
          </cell>
        </row>
        <row r="31">
          <cell r="D31">
            <v>1.5</v>
          </cell>
        </row>
        <row r="32">
          <cell r="D32">
            <v>340</v>
          </cell>
        </row>
        <row r="33">
          <cell r="D33">
            <v>1.5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10</v>
          </cell>
        </row>
        <row r="38">
          <cell r="D38">
            <v>3.2</v>
          </cell>
        </row>
        <row r="39">
          <cell r="D39">
            <v>7300</v>
          </cell>
        </row>
        <row r="40">
          <cell r="D40">
            <v>0</v>
          </cell>
        </row>
        <row r="41">
          <cell r="D41">
            <v>27</v>
          </cell>
        </row>
        <row r="42">
          <cell r="D42">
            <v>0</v>
          </cell>
        </row>
        <row r="43">
          <cell r="D43">
            <v>0.8</v>
          </cell>
        </row>
        <row r="44">
          <cell r="D44">
            <v>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queryTables/queryTable1.xml><?xml version="1.0" encoding="utf-8"?>
<queryTable xmlns="http://schemas.openxmlformats.org/spreadsheetml/2006/main" name="Breed-mashona_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reed-africander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reed-friesian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reed-mere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H9"/>
  <sheetViews>
    <sheetView workbookViewId="0">
      <selection activeCell="E37" sqref="E37"/>
    </sheetView>
  </sheetViews>
  <sheetFormatPr defaultRowHeight="12.75" x14ac:dyDescent="0.2"/>
  <sheetData>
    <row r="2" spans="1:8" x14ac:dyDescent="0.2">
      <c r="A2" s="87" t="s">
        <v>177</v>
      </c>
      <c r="B2" s="87"/>
      <c r="C2" s="87"/>
      <c r="D2" s="87"/>
      <c r="E2" s="87"/>
      <c r="F2" s="87"/>
      <c r="G2" s="87"/>
      <c r="H2" s="87"/>
    </row>
    <row r="3" spans="1:8" x14ac:dyDescent="0.2">
      <c r="A3" s="87"/>
      <c r="B3" s="87"/>
      <c r="C3" s="87"/>
      <c r="D3" s="87"/>
      <c r="E3" s="87"/>
      <c r="F3" s="87"/>
      <c r="G3" s="87"/>
      <c r="H3" s="87"/>
    </row>
    <row r="4" spans="1:8" x14ac:dyDescent="0.2">
      <c r="A4" s="87"/>
      <c r="B4" s="87"/>
      <c r="C4" s="87"/>
      <c r="D4" s="87"/>
      <c r="E4" s="87"/>
      <c r="F4" s="87"/>
      <c r="G4" s="87"/>
      <c r="H4" s="87"/>
    </row>
    <row r="5" spans="1:8" x14ac:dyDescent="0.2">
      <c r="A5" s="87"/>
      <c r="B5" s="87"/>
      <c r="C5" s="87"/>
      <c r="D5" s="87"/>
      <c r="E5" s="87"/>
      <c r="F5" s="87"/>
      <c r="G5" s="87"/>
      <c r="H5" s="87"/>
    </row>
    <row r="7" spans="1:8" x14ac:dyDescent="0.2">
      <c r="A7" s="66" t="s">
        <v>175</v>
      </c>
    </row>
    <row r="8" spans="1:8" x14ac:dyDescent="0.2">
      <c r="A8" s="66" t="s">
        <v>176</v>
      </c>
    </row>
    <row r="9" spans="1:8" x14ac:dyDescent="0.2">
      <c r="A9" s="66" t="s">
        <v>178</v>
      </c>
    </row>
  </sheetData>
  <mergeCells count="1">
    <mergeCell ref="A2:H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9985" r:id="rId4" name="Button 1">
              <controlPr defaultSize="0" print="0" autoFill="0" autoPict="0" macro="[0]!create_files">
                <anchor moveWithCells="1" sizeWithCells="1">
                  <from>
                    <xdr:col>9</xdr:col>
                    <xdr:colOff>0</xdr:colOff>
                    <xdr:row>0</xdr:row>
                    <xdr:rowOff>152400</xdr:rowOff>
                  </from>
                  <to>
                    <xdr:col>14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Z41"/>
  <sheetViews>
    <sheetView workbookViewId="0">
      <selection activeCell="D21" sqref="D21"/>
    </sheetView>
  </sheetViews>
  <sheetFormatPr defaultColWidth="11.42578125" defaultRowHeight="12.75" x14ac:dyDescent="0.2"/>
  <cols>
    <col min="1" max="1" width="21.140625" style="21" bestFit="1" customWidth="1"/>
    <col min="2" max="2" width="17" style="21" customWidth="1"/>
    <col min="3" max="3" width="28" style="21" bestFit="1" customWidth="1"/>
    <col min="4" max="4" width="28" style="21" customWidth="1"/>
    <col min="5" max="5" width="14.140625" style="21" customWidth="1"/>
    <col min="6" max="8" width="11.42578125" style="21" customWidth="1"/>
    <col min="9" max="9" width="12.140625" style="21" customWidth="1"/>
    <col min="10" max="10" width="9.140625" customWidth="1"/>
    <col min="11" max="11" width="9" customWidth="1"/>
    <col min="12" max="12" width="8.85546875" customWidth="1"/>
    <col min="13" max="13" width="10.5703125" customWidth="1"/>
  </cols>
  <sheetData>
    <row r="1" spans="1:19" x14ac:dyDescent="0.2">
      <c r="A1" s="14" t="s">
        <v>174</v>
      </c>
      <c r="B1" s="19"/>
      <c r="C1" s="19"/>
      <c r="D1" s="19"/>
      <c r="E1" s="19"/>
      <c r="F1" s="20"/>
      <c r="G1" s="20"/>
      <c r="H1" s="20"/>
    </row>
    <row r="2" spans="1:19" x14ac:dyDescent="0.2">
      <c r="A2" s="19"/>
      <c r="B2" s="19" t="s">
        <v>11</v>
      </c>
      <c r="C2" s="19" t="s">
        <v>12</v>
      </c>
      <c r="D2" s="19"/>
      <c r="E2" s="19" t="s">
        <v>13</v>
      </c>
      <c r="F2" s="20"/>
      <c r="G2" s="20"/>
      <c r="H2" s="20"/>
    </row>
    <row r="3" spans="1:19" x14ac:dyDescent="0.2">
      <c r="A3" s="19" t="s">
        <v>14</v>
      </c>
      <c r="B3" s="19"/>
      <c r="C3" s="19" t="s">
        <v>84</v>
      </c>
      <c r="D3" s="19" t="s">
        <v>14</v>
      </c>
      <c r="E3" s="22">
        <v>1E-3</v>
      </c>
      <c r="F3" s="23"/>
      <c r="G3" s="23"/>
      <c r="H3" s="23"/>
      <c r="I3" s="23"/>
      <c r="J3" s="3"/>
      <c r="K3" s="3"/>
      <c r="L3" s="1"/>
    </row>
    <row r="4" spans="1:19" x14ac:dyDescent="0.2">
      <c r="A4" s="19" t="s">
        <v>133</v>
      </c>
      <c r="B4" s="19" t="s">
        <v>15</v>
      </c>
      <c r="C4" s="19" t="s">
        <v>132</v>
      </c>
      <c r="D4" s="19" t="s">
        <v>384</v>
      </c>
      <c r="E4" s="24">
        <v>30.4</v>
      </c>
      <c r="F4" s="23"/>
      <c r="G4" s="23"/>
      <c r="H4" s="23"/>
      <c r="I4" s="23"/>
      <c r="J4" s="3"/>
      <c r="K4" s="3"/>
      <c r="L4" s="1"/>
    </row>
    <row r="5" spans="1:19" x14ac:dyDescent="0.2">
      <c r="A5" s="19"/>
      <c r="B5" s="19" t="s">
        <v>22</v>
      </c>
      <c r="C5" s="19" t="s">
        <v>131</v>
      </c>
      <c r="D5" s="19" t="s">
        <v>379</v>
      </c>
      <c r="E5" s="24">
        <v>30</v>
      </c>
      <c r="F5" s="23"/>
      <c r="G5" s="23"/>
      <c r="H5" s="23"/>
      <c r="I5" s="23"/>
      <c r="J5" s="3"/>
      <c r="K5" s="3"/>
      <c r="L5" s="1"/>
    </row>
    <row r="6" spans="1:19" x14ac:dyDescent="0.2">
      <c r="A6" s="20"/>
      <c r="B6" s="20"/>
      <c r="C6" s="20"/>
      <c r="D6" s="20"/>
      <c r="E6" s="20"/>
      <c r="F6" s="20"/>
      <c r="G6" s="20"/>
      <c r="H6" s="20"/>
    </row>
    <row r="7" spans="1:19" x14ac:dyDescent="0.2">
      <c r="A7" s="25" t="s">
        <v>173</v>
      </c>
      <c r="B7" s="20"/>
      <c r="C7" s="20"/>
      <c r="D7" s="20"/>
      <c r="E7" s="83"/>
      <c r="F7" s="83"/>
      <c r="G7" s="83"/>
      <c r="H7" s="20"/>
      <c r="O7" s="1"/>
      <c r="P7" s="1"/>
      <c r="Q7" s="1"/>
      <c r="R7" s="1"/>
      <c r="S7" s="1"/>
    </row>
    <row r="8" spans="1:19" x14ac:dyDescent="0.2">
      <c r="A8" s="20" t="s">
        <v>141</v>
      </c>
      <c r="B8" s="20" t="s">
        <v>38</v>
      </c>
      <c r="C8" s="20" t="s">
        <v>137</v>
      </c>
      <c r="D8" s="20" t="s">
        <v>380</v>
      </c>
      <c r="E8" s="20">
        <v>800</v>
      </c>
      <c r="F8" s="20">
        <v>800</v>
      </c>
      <c r="G8" s="20">
        <v>0</v>
      </c>
      <c r="H8" s="20"/>
      <c r="I8" s="26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">
      <c r="A9" s="20" t="s">
        <v>140</v>
      </c>
      <c r="B9" s="20" t="s">
        <v>22</v>
      </c>
      <c r="C9" s="20" t="s">
        <v>138</v>
      </c>
      <c r="D9" s="20" t="s">
        <v>381</v>
      </c>
      <c r="E9" s="20">
        <v>0</v>
      </c>
      <c r="F9" s="20">
        <v>0.16669999999999999</v>
      </c>
      <c r="G9" s="20">
        <v>1.5</v>
      </c>
      <c r="H9" s="20"/>
      <c r="I9" s="20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">
      <c r="A10" s="20" t="s">
        <v>142</v>
      </c>
      <c r="B10" s="20" t="s">
        <v>143</v>
      </c>
      <c r="C10" s="20" t="s">
        <v>139</v>
      </c>
      <c r="D10" s="20" t="s">
        <v>382</v>
      </c>
      <c r="E10" s="20">
        <v>1.4166000000000001</v>
      </c>
      <c r="F10" s="20" t="s">
        <v>125</v>
      </c>
      <c r="G10" s="20" t="s">
        <v>125</v>
      </c>
      <c r="H10" s="20"/>
      <c r="I10" s="20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">
      <c r="A11" s="20" t="s">
        <v>146</v>
      </c>
      <c r="B11" s="20" t="s">
        <v>145</v>
      </c>
      <c r="C11" s="20" t="s">
        <v>144</v>
      </c>
      <c r="D11" s="20" t="s">
        <v>383</v>
      </c>
      <c r="E11" s="20">
        <v>6</v>
      </c>
      <c r="F11" s="20" t="s">
        <v>125</v>
      </c>
      <c r="G11" s="20" t="s">
        <v>125</v>
      </c>
      <c r="H11" s="20"/>
      <c r="I11" s="20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">
      <c r="A12" s="20"/>
      <c r="B12" s="20"/>
      <c r="C12" s="20"/>
      <c r="D12" s="20"/>
      <c r="E12" s="20"/>
      <c r="F12" s="20"/>
      <c r="G12" s="20"/>
      <c r="H12" s="20"/>
      <c r="O12" s="1"/>
      <c r="P12" s="1"/>
      <c r="Q12" s="1"/>
      <c r="R12" s="1"/>
      <c r="S12" s="1"/>
    </row>
    <row r="13" spans="1:19" x14ac:dyDescent="0.2">
      <c r="A13" s="20"/>
      <c r="B13" s="20"/>
      <c r="C13" s="20"/>
      <c r="D13" s="20"/>
      <c r="E13" s="20"/>
      <c r="F13" s="20"/>
      <c r="G13" s="20"/>
      <c r="H13" s="20"/>
      <c r="O13" s="1"/>
      <c r="P13" s="1"/>
      <c r="Q13" s="1"/>
      <c r="R13" s="1"/>
      <c r="S13" s="1"/>
    </row>
    <row r="14" spans="1:19" x14ac:dyDescent="0.2">
      <c r="A14" s="20"/>
      <c r="B14" s="20"/>
      <c r="C14" s="25"/>
      <c r="D14" s="25"/>
      <c r="E14" s="25"/>
      <c r="F14" s="25"/>
      <c r="G14" s="20"/>
      <c r="H14" s="25"/>
      <c r="O14" s="1"/>
      <c r="P14" s="1"/>
      <c r="Q14" s="1"/>
      <c r="R14" s="1"/>
      <c r="S14" s="1"/>
    </row>
    <row r="15" spans="1:19" x14ac:dyDescent="0.2">
      <c r="A15" s="20"/>
      <c r="B15" s="20"/>
      <c r="C15" s="25"/>
      <c r="D15" s="25"/>
      <c r="E15" s="27"/>
      <c r="F15" s="27"/>
      <c r="G15" s="20"/>
      <c r="H15" s="20"/>
      <c r="O15" s="1"/>
      <c r="P15" s="1"/>
      <c r="Q15" s="1"/>
      <c r="R15" s="1"/>
      <c r="S15" s="1"/>
    </row>
    <row r="16" spans="1:19" x14ac:dyDescent="0.2">
      <c r="A16" s="20"/>
      <c r="B16" s="20"/>
      <c r="C16" s="20"/>
      <c r="D16" s="20"/>
      <c r="E16" s="20"/>
      <c r="F16" s="20"/>
      <c r="G16" s="20"/>
      <c r="H16" s="20"/>
      <c r="O16" s="1"/>
      <c r="P16" s="1"/>
      <c r="Q16" s="1"/>
      <c r="R16" s="1"/>
      <c r="S16" s="1"/>
    </row>
    <row r="17" spans="1:26" x14ac:dyDescent="0.2">
      <c r="A17" s="20"/>
      <c r="B17" s="25"/>
      <c r="C17" s="20"/>
      <c r="D17" s="20"/>
      <c r="E17" s="20"/>
      <c r="F17" s="20"/>
      <c r="G17" s="20"/>
      <c r="H17" s="20"/>
      <c r="I17" s="28"/>
      <c r="O17" s="12"/>
      <c r="P17" s="1"/>
      <c r="Q17" s="1"/>
      <c r="R17" s="1"/>
      <c r="S17" s="1"/>
    </row>
    <row r="18" spans="1:26" x14ac:dyDescent="0.2">
      <c r="B18" s="13"/>
      <c r="C18" s="24"/>
      <c r="D18" s="24"/>
      <c r="E18" s="24"/>
      <c r="F18" s="24"/>
      <c r="G18" s="19"/>
      <c r="H18" s="20"/>
      <c r="I18" s="13"/>
      <c r="J18" s="5"/>
      <c r="K18" s="5"/>
      <c r="L18" s="5"/>
      <c r="M18" s="4"/>
      <c r="N18" s="1"/>
      <c r="O18" s="7"/>
      <c r="P18" s="5"/>
      <c r="Q18" s="5"/>
      <c r="R18" s="5"/>
      <c r="S18" s="4"/>
      <c r="U18" s="1"/>
      <c r="V18" s="1"/>
      <c r="W18" s="1"/>
      <c r="X18" s="1"/>
      <c r="Y18" s="1"/>
      <c r="Z18" s="1"/>
    </row>
    <row r="19" spans="1:26" x14ac:dyDescent="0.2">
      <c r="B19" s="13"/>
      <c r="C19" s="24"/>
      <c r="D19" s="24"/>
      <c r="E19" s="24"/>
      <c r="F19" s="24"/>
      <c r="G19" s="24"/>
      <c r="H19" s="20"/>
      <c r="I19" s="13"/>
      <c r="J19" s="5"/>
      <c r="K19" s="5"/>
      <c r="L19" s="5"/>
      <c r="M19" s="5"/>
      <c r="N19" s="1"/>
      <c r="O19" s="7"/>
      <c r="P19" s="5"/>
      <c r="Q19" s="5"/>
      <c r="R19" s="5"/>
      <c r="S19" s="5"/>
      <c r="U19" s="1"/>
      <c r="V19" s="1"/>
      <c r="W19" s="1"/>
      <c r="X19" s="1"/>
      <c r="Y19" s="1"/>
      <c r="Z19" s="1"/>
    </row>
    <row r="20" spans="1:26" x14ac:dyDescent="0.2">
      <c r="B20" s="20"/>
      <c r="C20" s="20"/>
      <c r="D20" s="20"/>
      <c r="E20" s="20"/>
      <c r="F20" s="20"/>
      <c r="G20" s="20"/>
      <c r="H20" s="20"/>
      <c r="I20" s="20"/>
      <c r="J20" s="1"/>
      <c r="K20" s="1"/>
      <c r="L20" s="1"/>
      <c r="M20" s="1"/>
      <c r="N20" s="1"/>
      <c r="O20" s="1"/>
      <c r="P20" s="1"/>
      <c r="Q20" s="1"/>
      <c r="R20" s="1"/>
      <c r="S20" s="1"/>
      <c r="U20" s="1"/>
      <c r="V20" s="1"/>
      <c r="W20" s="1"/>
      <c r="X20" s="1"/>
      <c r="Y20" s="1"/>
      <c r="Z20" s="1"/>
    </row>
    <row r="21" spans="1:26" x14ac:dyDescent="0.2">
      <c r="B21" s="20"/>
      <c r="C21" s="20"/>
      <c r="D21" s="20"/>
      <c r="E21" s="20"/>
      <c r="F21" s="20"/>
      <c r="G21" s="20"/>
      <c r="H21" s="20"/>
      <c r="I21" s="20"/>
      <c r="J21" s="1"/>
      <c r="K21" s="1"/>
      <c r="L21" s="1"/>
      <c r="M21" s="1"/>
      <c r="N21" s="1"/>
      <c r="O21" s="1"/>
      <c r="P21" s="1"/>
      <c r="Q21" s="1"/>
      <c r="R21" s="1"/>
      <c r="S21" s="1"/>
      <c r="U21" s="1"/>
      <c r="V21" s="1"/>
      <c r="W21" s="1"/>
      <c r="X21" s="1"/>
      <c r="Y21" s="1"/>
      <c r="Z21" s="1"/>
    </row>
    <row r="22" spans="1:26" x14ac:dyDescent="0.2">
      <c r="B22" s="20"/>
      <c r="C22" s="20"/>
      <c r="D22" s="20"/>
      <c r="E22" s="20"/>
      <c r="F22" s="20"/>
      <c r="G22" s="20"/>
      <c r="H22" s="20"/>
      <c r="I22" s="20"/>
      <c r="J22" s="1"/>
      <c r="K22" s="1"/>
      <c r="L22" s="1"/>
      <c r="M22" s="1"/>
      <c r="N22" s="1"/>
      <c r="O22" s="1"/>
      <c r="P22" s="1"/>
      <c r="Q22" s="1"/>
      <c r="R22" s="1"/>
      <c r="S22" s="1"/>
      <c r="U22" s="1"/>
      <c r="V22" s="1"/>
      <c r="W22" s="1"/>
      <c r="X22" s="1"/>
      <c r="Y22" s="1"/>
      <c r="Z22" s="1"/>
    </row>
    <row r="23" spans="1:26" x14ac:dyDescent="0.2">
      <c r="B23" s="20"/>
      <c r="C23" s="20"/>
      <c r="D23" s="20"/>
      <c r="E23" s="20"/>
      <c r="F23" s="20"/>
      <c r="G23" s="20"/>
      <c r="H23" s="20"/>
      <c r="I23" s="20"/>
      <c r="J23" s="1"/>
      <c r="K23" s="1"/>
      <c r="L23" s="1"/>
      <c r="M23" s="1"/>
      <c r="N23" s="1"/>
      <c r="O23" s="1"/>
      <c r="P23" s="1"/>
      <c r="Q23" s="1"/>
      <c r="R23" s="1"/>
      <c r="S23" s="1"/>
      <c r="U23" s="1"/>
      <c r="V23" s="1"/>
      <c r="W23" s="1"/>
      <c r="X23" s="1"/>
      <c r="Y23" s="1"/>
      <c r="Z23" s="1"/>
    </row>
    <row r="24" spans="1:26" x14ac:dyDescent="0.2">
      <c r="B24" s="20"/>
      <c r="C24" s="20"/>
      <c r="D24" s="20"/>
      <c r="E24" s="20"/>
      <c r="F24" s="20"/>
      <c r="G24" s="20"/>
      <c r="H24" s="20"/>
      <c r="I24" s="20"/>
      <c r="J24" s="1"/>
      <c r="K24" s="1"/>
      <c r="L24" s="1"/>
      <c r="M24" s="1"/>
      <c r="N24" s="1"/>
      <c r="U24" s="1"/>
      <c r="V24" s="1"/>
      <c r="W24" s="1"/>
      <c r="X24" s="1"/>
      <c r="Y24" s="1"/>
      <c r="Z24" s="1"/>
    </row>
    <row r="25" spans="1:26" x14ac:dyDescent="0.2">
      <c r="B25" s="20"/>
      <c r="C25" s="29"/>
      <c r="D25" s="29"/>
      <c r="E25" s="26"/>
      <c r="F25" s="26"/>
      <c r="G25" s="30"/>
      <c r="H25" s="20"/>
      <c r="I25" s="20"/>
      <c r="J25" s="10"/>
      <c r="K25" s="11"/>
      <c r="L25" s="11"/>
      <c r="M25" s="11"/>
      <c r="N25" s="1"/>
      <c r="P25" s="8"/>
      <c r="Q25" s="9"/>
      <c r="R25" s="9"/>
      <c r="S25" s="9"/>
      <c r="U25" s="1"/>
      <c r="V25" s="1"/>
      <c r="W25" s="1"/>
      <c r="X25" s="1"/>
      <c r="Y25" s="1"/>
      <c r="Z25" s="1"/>
    </row>
    <row r="26" spans="1:26" x14ac:dyDescent="0.2">
      <c r="B26" s="20"/>
      <c r="C26" s="20"/>
      <c r="D26" s="20"/>
      <c r="E26" s="20"/>
      <c r="F26" s="20"/>
      <c r="G26" s="20"/>
      <c r="H26" s="29"/>
      <c r="I26" s="20"/>
      <c r="J26" s="1"/>
      <c r="K26" s="1"/>
      <c r="L26" s="1"/>
      <c r="M26" s="1"/>
      <c r="N26" s="1"/>
      <c r="U26" s="1"/>
      <c r="V26" s="1"/>
      <c r="W26" s="1"/>
      <c r="X26" s="1"/>
      <c r="Y26" s="1"/>
      <c r="Z26" s="1"/>
    </row>
    <row r="27" spans="1:26" x14ac:dyDescent="0.2">
      <c r="B27" s="20"/>
      <c r="C27" s="20"/>
      <c r="D27" s="20"/>
      <c r="E27" s="20"/>
      <c r="F27" s="20"/>
      <c r="G27" s="20"/>
      <c r="H27" s="20"/>
      <c r="I27" s="20"/>
      <c r="J27" s="1"/>
      <c r="K27" s="1"/>
      <c r="L27" s="1"/>
      <c r="M27" s="1"/>
      <c r="N27" s="1"/>
      <c r="U27" s="1"/>
      <c r="V27" s="1"/>
      <c r="W27" s="1"/>
      <c r="X27" s="1"/>
      <c r="Y27" s="1"/>
      <c r="Z27" s="1"/>
    </row>
    <row r="28" spans="1:26" x14ac:dyDescent="0.2">
      <c r="B28" s="20"/>
      <c r="C28" s="20"/>
      <c r="D28" s="20"/>
      <c r="E28" s="20"/>
      <c r="F28" s="20"/>
      <c r="G28" s="30"/>
      <c r="H28" s="20"/>
      <c r="I28" s="20"/>
      <c r="J28" s="1"/>
      <c r="K28" s="1"/>
      <c r="L28" s="1"/>
      <c r="M28" s="1"/>
      <c r="N28" s="11"/>
      <c r="U28" s="1"/>
      <c r="V28" s="1"/>
      <c r="W28" s="1"/>
      <c r="X28" s="1"/>
      <c r="Y28" s="1"/>
      <c r="Z28" s="1"/>
    </row>
    <row r="29" spans="1:26" x14ac:dyDescent="0.2">
      <c r="B29" s="20"/>
      <c r="C29" s="20"/>
      <c r="D29" s="20"/>
      <c r="E29" s="20"/>
      <c r="F29" s="20"/>
      <c r="G29" s="20"/>
      <c r="H29" s="20"/>
      <c r="I29" s="20"/>
      <c r="J29" s="1"/>
      <c r="K29" s="1"/>
      <c r="L29" s="1"/>
      <c r="M29" s="1"/>
      <c r="N29" s="1"/>
      <c r="T29" s="9"/>
      <c r="U29" s="1"/>
      <c r="V29" s="1"/>
      <c r="W29" s="1"/>
      <c r="X29" s="1"/>
      <c r="Y29" s="1"/>
      <c r="Z29" s="1"/>
    </row>
    <row r="30" spans="1:26" x14ac:dyDescent="0.2">
      <c r="B30" s="20"/>
      <c r="C30" s="20"/>
      <c r="D30" s="20"/>
      <c r="E30" s="20"/>
      <c r="F30" s="20"/>
      <c r="G30" s="20"/>
      <c r="H30" s="20"/>
      <c r="I30" s="20"/>
      <c r="J30" s="1"/>
      <c r="K30" s="1"/>
      <c r="L30" s="1"/>
      <c r="M30" s="1"/>
      <c r="N30" s="1"/>
    </row>
    <row r="31" spans="1:26" x14ac:dyDescent="0.2">
      <c r="B31" s="20"/>
      <c r="C31" s="20"/>
      <c r="D31" s="20"/>
      <c r="E31" s="20"/>
      <c r="F31" s="20"/>
      <c r="G31" s="20"/>
      <c r="H31" s="20"/>
      <c r="I31" s="20"/>
      <c r="J31" s="1"/>
      <c r="K31" s="1"/>
      <c r="L31" s="1"/>
      <c r="M31" s="1"/>
      <c r="N31" s="1"/>
    </row>
    <row r="32" spans="1:26" x14ac:dyDescent="0.2">
      <c r="B32" s="20"/>
      <c r="C32" s="20"/>
      <c r="D32" s="20"/>
      <c r="E32" s="20"/>
      <c r="F32" s="20"/>
      <c r="G32" s="20"/>
      <c r="H32" s="20"/>
      <c r="I32" s="20"/>
      <c r="J32" s="1"/>
      <c r="K32" s="1"/>
      <c r="L32" s="1"/>
      <c r="M32" s="1"/>
      <c r="N32" s="1"/>
    </row>
    <row r="33" spans="2:15" x14ac:dyDescent="0.2">
      <c r="B33" s="20"/>
      <c r="C33" s="20"/>
      <c r="D33" s="20"/>
      <c r="E33" s="20"/>
      <c r="F33" s="20"/>
      <c r="G33" s="20"/>
      <c r="H33" s="20"/>
      <c r="I33" s="20"/>
      <c r="J33" s="1"/>
      <c r="K33" s="1"/>
      <c r="L33" s="1"/>
      <c r="M33" s="1"/>
      <c r="N33" s="1"/>
    </row>
    <row r="34" spans="2:15" x14ac:dyDescent="0.2">
      <c r="B34" s="20"/>
      <c r="C34" s="20"/>
      <c r="D34" s="20"/>
      <c r="E34" s="20"/>
      <c r="F34" s="20"/>
      <c r="G34" s="20"/>
      <c r="H34" s="20"/>
      <c r="I34" s="20"/>
      <c r="J34" s="1"/>
      <c r="K34" s="1"/>
      <c r="L34" s="1"/>
      <c r="M34" s="1"/>
      <c r="N34" s="1"/>
    </row>
    <row r="35" spans="2:15" x14ac:dyDescent="0.2">
      <c r="B35" s="20"/>
      <c r="C35" s="20"/>
      <c r="D35" s="20"/>
      <c r="E35" s="20"/>
      <c r="F35" s="20"/>
      <c r="G35" s="20"/>
      <c r="H35" s="20"/>
      <c r="I35" s="20"/>
      <c r="J35" s="1"/>
      <c r="K35" s="1"/>
      <c r="L35" s="1"/>
      <c r="M35" s="1"/>
      <c r="N35" s="1"/>
    </row>
    <row r="36" spans="2:15" x14ac:dyDescent="0.2">
      <c r="B36" s="20"/>
      <c r="C36" s="20"/>
      <c r="D36" s="20"/>
      <c r="E36" s="20"/>
      <c r="F36" s="20"/>
      <c r="G36" s="20"/>
      <c r="H36" s="20"/>
      <c r="I36" s="20"/>
      <c r="J36" s="1"/>
      <c r="K36" s="1"/>
      <c r="L36" s="1"/>
      <c r="M36" s="1"/>
      <c r="N36" s="1"/>
    </row>
    <row r="37" spans="2:15" x14ac:dyDescent="0.2">
      <c r="B37" s="20"/>
      <c r="C37" s="20"/>
      <c r="D37" s="20"/>
      <c r="E37" s="20"/>
      <c r="F37" s="20"/>
      <c r="G37" s="20"/>
      <c r="H37" s="20"/>
      <c r="I37" s="20"/>
      <c r="J37" s="1"/>
      <c r="K37" s="1"/>
      <c r="L37" s="1"/>
      <c r="M37" s="1"/>
      <c r="N37" s="1"/>
    </row>
    <row r="38" spans="2:15" x14ac:dyDescent="0.2">
      <c r="B38" s="20"/>
      <c r="C38" s="20"/>
      <c r="D38" s="20"/>
      <c r="E38" s="20"/>
      <c r="F38" s="20"/>
      <c r="G38" s="20"/>
      <c r="H38" s="20"/>
      <c r="I38" s="20"/>
      <c r="J38" s="1"/>
      <c r="K38" s="1"/>
      <c r="L38" s="1"/>
      <c r="M38" s="1"/>
      <c r="N38" s="1"/>
    </row>
    <row r="39" spans="2:15" x14ac:dyDescent="0.2">
      <c r="B39" s="20"/>
      <c r="C39" s="20"/>
      <c r="D39" s="20"/>
      <c r="E39" s="20"/>
      <c r="F39" s="20"/>
      <c r="G39" s="20"/>
      <c r="H39" s="20"/>
      <c r="I39" s="20"/>
      <c r="J39" s="1"/>
      <c r="K39" s="1"/>
      <c r="L39" s="1"/>
      <c r="M39" s="1"/>
      <c r="N39" s="1"/>
    </row>
    <row r="41" spans="2:15" x14ac:dyDescent="0.2">
      <c r="O41" s="8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>
    <tabColor indexed="43"/>
  </sheetPr>
  <dimension ref="A1:N75"/>
  <sheetViews>
    <sheetView workbookViewId="0">
      <selection activeCell="M27" sqref="M27"/>
    </sheetView>
  </sheetViews>
  <sheetFormatPr defaultColWidth="11.42578125" defaultRowHeight="12.75" x14ac:dyDescent="0.2"/>
  <cols>
    <col min="1" max="1" width="28.85546875" style="19" bestFit="1" customWidth="1"/>
    <col min="2" max="2" width="17" style="19" customWidth="1"/>
    <col min="3" max="3" width="19.42578125" style="19" bestFit="1" customWidth="1"/>
    <col min="4" max="4" width="12.7109375" style="19" bestFit="1" customWidth="1"/>
    <col min="5" max="13" width="8.7109375" style="19" customWidth="1"/>
    <col min="14" max="14" width="4.28515625" style="21" customWidth="1"/>
    <col min="15" max="16384" width="11.42578125" style="21"/>
  </cols>
  <sheetData>
    <row r="1" spans="1:13" x14ac:dyDescent="0.2">
      <c r="A1" s="14" t="s">
        <v>16</v>
      </c>
    </row>
    <row r="2" spans="1:13" x14ac:dyDescent="0.2">
      <c r="A2" s="14"/>
      <c r="B2" s="14" t="s">
        <v>11</v>
      </c>
      <c r="C2" s="14" t="s">
        <v>12</v>
      </c>
      <c r="D2" s="14"/>
      <c r="E2" s="14" t="s">
        <v>13</v>
      </c>
      <c r="F2" s="32"/>
      <c r="G2" s="32"/>
      <c r="H2" s="32"/>
      <c r="I2" s="32"/>
      <c r="J2" s="32"/>
      <c r="K2" s="32"/>
      <c r="L2" s="32"/>
      <c r="M2" s="32"/>
    </row>
    <row r="3" spans="1:13" x14ac:dyDescent="0.2">
      <c r="A3" s="19" t="s">
        <v>17</v>
      </c>
      <c r="C3" s="19" t="s">
        <v>86</v>
      </c>
      <c r="D3" s="32" t="s">
        <v>387</v>
      </c>
      <c r="E3" s="19">
        <v>0.03</v>
      </c>
      <c r="F3" s="19" t="s">
        <v>125</v>
      </c>
      <c r="G3" s="19" t="s">
        <v>125</v>
      </c>
      <c r="H3" s="19" t="s">
        <v>125</v>
      </c>
      <c r="I3" s="19" t="s">
        <v>125</v>
      </c>
      <c r="J3" s="19" t="s">
        <v>125</v>
      </c>
      <c r="K3" s="19" t="s">
        <v>125</v>
      </c>
      <c r="L3" s="19" t="s">
        <v>125</v>
      </c>
      <c r="M3" s="19" t="s">
        <v>125</v>
      </c>
    </row>
    <row r="4" spans="1:13" x14ac:dyDescent="0.2">
      <c r="A4" s="19" t="s">
        <v>18</v>
      </c>
      <c r="B4" s="19" t="s">
        <v>19</v>
      </c>
      <c r="C4" s="19" t="s">
        <v>87</v>
      </c>
      <c r="D4" s="19" t="s">
        <v>346</v>
      </c>
      <c r="E4" s="19">
        <v>550</v>
      </c>
      <c r="F4" s="19" t="s">
        <v>125</v>
      </c>
      <c r="G4" s="19" t="s">
        <v>125</v>
      </c>
      <c r="H4" s="19" t="s">
        <v>125</v>
      </c>
      <c r="I4" s="19" t="s">
        <v>125</v>
      </c>
      <c r="J4" s="19" t="s">
        <v>125</v>
      </c>
      <c r="K4" s="19" t="s">
        <v>125</v>
      </c>
      <c r="L4" s="19" t="s">
        <v>125</v>
      </c>
      <c r="M4" s="19" t="s">
        <v>125</v>
      </c>
    </row>
    <row r="5" spans="1:13" x14ac:dyDescent="0.2">
      <c r="A5" s="19" t="s">
        <v>20</v>
      </c>
      <c r="B5" s="19" t="s">
        <v>19</v>
      </c>
      <c r="C5" s="19" t="s">
        <v>88</v>
      </c>
      <c r="D5" s="19" t="s">
        <v>347</v>
      </c>
      <c r="E5" s="19">
        <v>450</v>
      </c>
      <c r="F5" s="19" t="s">
        <v>125</v>
      </c>
      <c r="G5" s="19" t="s">
        <v>125</v>
      </c>
      <c r="H5" s="19" t="s">
        <v>125</v>
      </c>
      <c r="I5" s="19" t="s">
        <v>125</v>
      </c>
      <c r="J5" s="19" t="s">
        <v>125</v>
      </c>
      <c r="K5" s="19" t="s">
        <v>125</v>
      </c>
      <c r="L5" s="19" t="s">
        <v>125</v>
      </c>
      <c r="M5" s="19" t="s">
        <v>125</v>
      </c>
    </row>
    <row r="6" spans="1:13" x14ac:dyDescent="0.2">
      <c r="A6" s="19" t="s">
        <v>21</v>
      </c>
      <c r="B6" s="19" t="s">
        <v>19</v>
      </c>
      <c r="C6" s="19" t="s">
        <v>89</v>
      </c>
      <c r="D6" s="19" t="s">
        <v>348</v>
      </c>
      <c r="E6" s="19">
        <v>30</v>
      </c>
      <c r="F6" s="19">
        <v>180</v>
      </c>
      <c r="G6" s="19">
        <v>350</v>
      </c>
      <c r="H6" s="19">
        <v>430</v>
      </c>
      <c r="I6" s="19">
        <v>440</v>
      </c>
      <c r="J6" s="19">
        <v>450</v>
      </c>
      <c r="K6" s="19">
        <v>450</v>
      </c>
      <c r="L6" s="19" t="s">
        <v>125</v>
      </c>
      <c r="M6" s="19" t="s">
        <v>125</v>
      </c>
    </row>
    <row r="7" spans="1:13" x14ac:dyDescent="0.2">
      <c r="B7" s="19" t="s">
        <v>22</v>
      </c>
      <c r="C7" s="19" t="s">
        <v>90</v>
      </c>
      <c r="D7" s="19" t="s">
        <v>349</v>
      </c>
      <c r="E7" s="19">
        <v>0</v>
      </c>
      <c r="F7" s="19">
        <v>0.7</v>
      </c>
      <c r="G7" s="19">
        <v>1.5</v>
      </c>
      <c r="H7" s="19">
        <v>4.5999999999999996</v>
      </c>
      <c r="I7" s="19">
        <v>6.7</v>
      </c>
      <c r="J7" s="19">
        <v>12</v>
      </c>
      <c r="K7" s="19">
        <v>20</v>
      </c>
      <c r="L7" s="19" t="s">
        <v>125</v>
      </c>
      <c r="M7" s="19" t="s">
        <v>125</v>
      </c>
    </row>
    <row r="8" spans="1:13" x14ac:dyDescent="0.2">
      <c r="A8" s="19" t="s">
        <v>23</v>
      </c>
      <c r="B8" s="19" t="s">
        <v>19</v>
      </c>
      <c r="C8" s="19" t="s">
        <v>91</v>
      </c>
      <c r="D8" s="19" t="s">
        <v>350</v>
      </c>
      <c r="E8" s="19">
        <v>30</v>
      </c>
      <c r="F8" s="19">
        <v>210</v>
      </c>
      <c r="G8" s="19">
        <v>330</v>
      </c>
      <c r="H8" s="19">
        <v>520</v>
      </c>
      <c r="I8" s="19">
        <v>540</v>
      </c>
      <c r="J8" s="19">
        <v>550</v>
      </c>
      <c r="K8" s="19">
        <v>550</v>
      </c>
      <c r="L8" s="19" t="s">
        <v>125</v>
      </c>
      <c r="M8" s="19" t="s">
        <v>125</v>
      </c>
    </row>
    <row r="9" spans="1:13" x14ac:dyDescent="0.2">
      <c r="B9" s="19" t="s">
        <v>22</v>
      </c>
      <c r="C9" s="19" t="s">
        <v>92</v>
      </c>
      <c r="D9" s="19" t="s">
        <v>351</v>
      </c>
      <c r="E9" s="19">
        <v>0</v>
      </c>
      <c r="F9" s="19">
        <v>0.66666666666666696</v>
      </c>
      <c r="G9" s="19">
        <v>1.5</v>
      </c>
      <c r="H9" s="19">
        <v>4.5833333333333304</v>
      </c>
      <c r="I9" s="19">
        <v>6.6666666666666696</v>
      </c>
      <c r="J9" s="19">
        <v>12</v>
      </c>
      <c r="K9" s="19">
        <v>20</v>
      </c>
      <c r="L9" s="19" t="s">
        <v>125</v>
      </c>
      <c r="M9" s="19" t="s">
        <v>125</v>
      </c>
    </row>
    <row r="10" spans="1:13" x14ac:dyDescent="0.2">
      <c r="A10" s="19" t="s">
        <v>24</v>
      </c>
      <c r="B10" s="19" t="s">
        <v>19</v>
      </c>
      <c r="C10" s="19" t="s">
        <v>93</v>
      </c>
      <c r="D10" s="19" t="s">
        <v>352</v>
      </c>
      <c r="E10" s="19">
        <v>30</v>
      </c>
      <c r="F10" s="19">
        <v>180</v>
      </c>
      <c r="G10" s="19">
        <v>350</v>
      </c>
      <c r="H10" s="19">
        <v>430</v>
      </c>
      <c r="I10" s="19">
        <v>440</v>
      </c>
      <c r="J10" s="19">
        <v>450</v>
      </c>
      <c r="K10" s="19">
        <v>450</v>
      </c>
      <c r="L10" s="19" t="s">
        <v>125</v>
      </c>
      <c r="M10" s="19" t="s">
        <v>125</v>
      </c>
    </row>
    <row r="11" spans="1:13" x14ac:dyDescent="0.2">
      <c r="B11" s="19" t="s">
        <v>22</v>
      </c>
      <c r="C11" s="19" t="s">
        <v>94</v>
      </c>
      <c r="D11" s="19" t="s">
        <v>353</v>
      </c>
      <c r="E11" s="19">
        <v>0</v>
      </c>
      <c r="F11" s="19">
        <v>0.7</v>
      </c>
      <c r="G11" s="19">
        <v>1.5</v>
      </c>
      <c r="H11" s="19">
        <v>4.5999999999999996</v>
      </c>
      <c r="I11" s="19">
        <v>6.7</v>
      </c>
      <c r="J11" s="19">
        <v>12</v>
      </c>
      <c r="K11" s="19">
        <v>20</v>
      </c>
      <c r="L11" s="19" t="s">
        <v>125</v>
      </c>
      <c r="M11" s="19" t="s">
        <v>125</v>
      </c>
    </row>
    <row r="12" spans="1:13" x14ac:dyDescent="0.2">
      <c r="A12" s="19" t="s">
        <v>25</v>
      </c>
      <c r="B12" s="19" t="s">
        <v>19</v>
      </c>
      <c r="C12" s="19" t="s">
        <v>95</v>
      </c>
      <c r="D12" s="19" t="s">
        <v>354</v>
      </c>
      <c r="E12" s="19">
        <v>30</v>
      </c>
      <c r="F12" s="19">
        <v>57</v>
      </c>
      <c r="G12" s="19">
        <v>88</v>
      </c>
      <c r="H12" s="19">
        <v>140</v>
      </c>
      <c r="I12" s="19">
        <v>160</v>
      </c>
      <c r="J12" s="19">
        <v>160</v>
      </c>
      <c r="K12" s="19">
        <v>160</v>
      </c>
      <c r="L12" s="19" t="s">
        <v>125</v>
      </c>
      <c r="M12" s="19" t="s">
        <v>125</v>
      </c>
    </row>
    <row r="13" spans="1:13" x14ac:dyDescent="0.2">
      <c r="B13" s="19" t="s">
        <v>22</v>
      </c>
      <c r="C13" s="19" t="s">
        <v>96</v>
      </c>
      <c r="D13" s="19" t="s">
        <v>355</v>
      </c>
      <c r="E13" s="19">
        <v>0</v>
      </c>
      <c r="F13" s="19">
        <v>0.7</v>
      </c>
      <c r="G13" s="19">
        <v>1.5</v>
      </c>
      <c r="H13" s="19">
        <v>4.5999999999999996</v>
      </c>
      <c r="I13" s="19">
        <v>6.7</v>
      </c>
      <c r="J13" s="19">
        <v>12</v>
      </c>
      <c r="K13" s="19">
        <v>20</v>
      </c>
      <c r="L13" s="19" t="s">
        <v>125</v>
      </c>
      <c r="M13" s="19" t="s">
        <v>125</v>
      </c>
    </row>
    <row r="14" spans="1:13" x14ac:dyDescent="0.2">
      <c r="A14" s="19" t="s">
        <v>26</v>
      </c>
      <c r="C14" s="19" t="s">
        <v>97</v>
      </c>
      <c r="D14" s="19" t="s">
        <v>356</v>
      </c>
      <c r="E14" s="19">
        <v>256</v>
      </c>
      <c r="F14" s="19">
        <v>256</v>
      </c>
      <c r="G14" s="19">
        <v>0</v>
      </c>
      <c r="H14" s="19">
        <v>0</v>
      </c>
      <c r="I14" s="19" t="s">
        <v>125</v>
      </c>
      <c r="J14" s="19" t="s">
        <v>125</v>
      </c>
      <c r="K14" s="19" t="s">
        <v>125</v>
      </c>
      <c r="L14" s="19" t="s">
        <v>125</v>
      </c>
      <c r="M14" s="19" t="s">
        <v>125</v>
      </c>
    </row>
    <row r="15" spans="1:13" x14ac:dyDescent="0.2">
      <c r="A15" s="19" t="s">
        <v>27</v>
      </c>
      <c r="B15" s="19" t="s">
        <v>22</v>
      </c>
      <c r="C15" s="19" t="s">
        <v>98</v>
      </c>
      <c r="D15" s="19" t="s">
        <v>357</v>
      </c>
      <c r="E15" s="19">
        <v>0</v>
      </c>
      <c r="F15" s="31">
        <v>8.3333333333333301E-2</v>
      </c>
      <c r="G15" s="19">
        <v>0.83333333333333304</v>
      </c>
      <c r="H15" s="19">
        <v>1.5</v>
      </c>
      <c r="I15" s="19" t="s">
        <v>125</v>
      </c>
      <c r="J15" s="19" t="s">
        <v>125</v>
      </c>
      <c r="K15" s="19" t="s">
        <v>125</v>
      </c>
      <c r="L15" s="19" t="s">
        <v>125</v>
      </c>
      <c r="M15" s="19" t="s">
        <v>125</v>
      </c>
    </row>
    <row r="16" spans="1:13" x14ac:dyDescent="0.2">
      <c r="C16" s="19" t="s">
        <v>119</v>
      </c>
      <c r="D16" s="19" t="s">
        <v>358</v>
      </c>
      <c r="E16" s="19">
        <v>0.2</v>
      </c>
      <c r="F16" s="19">
        <v>0.3</v>
      </c>
      <c r="G16" s="19">
        <v>0.4</v>
      </c>
      <c r="H16" s="19">
        <v>0.5</v>
      </c>
      <c r="I16" s="19">
        <v>0.6</v>
      </c>
      <c r="J16" s="19">
        <v>0.7</v>
      </c>
      <c r="K16" s="19">
        <v>0.8</v>
      </c>
      <c r="L16" s="19" t="s">
        <v>125</v>
      </c>
      <c r="M16" s="19" t="s">
        <v>125</v>
      </c>
    </row>
    <row r="17" spans="1:13" x14ac:dyDescent="0.2">
      <c r="A17" s="32" t="s">
        <v>123</v>
      </c>
      <c r="B17" s="19" t="s">
        <v>19</v>
      </c>
      <c r="C17" s="19" t="s">
        <v>120</v>
      </c>
      <c r="D17" s="19" t="s">
        <v>359</v>
      </c>
      <c r="E17" s="19">
        <v>120</v>
      </c>
      <c r="F17" s="19">
        <v>182.5</v>
      </c>
      <c r="G17" s="19">
        <v>182.5</v>
      </c>
      <c r="H17" s="19">
        <v>365</v>
      </c>
      <c r="I17" s="19">
        <v>547.5</v>
      </c>
      <c r="J17" s="19">
        <v>547.5</v>
      </c>
      <c r="K17" s="19">
        <v>547.5</v>
      </c>
      <c r="L17" s="19" t="s">
        <v>125</v>
      </c>
      <c r="M17" s="19" t="s">
        <v>125</v>
      </c>
    </row>
    <row r="18" spans="1:13" x14ac:dyDescent="0.2">
      <c r="C18" s="19" t="s">
        <v>121</v>
      </c>
      <c r="D18" s="19" t="s">
        <v>360</v>
      </c>
      <c r="E18" s="19">
        <v>0.2</v>
      </c>
      <c r="F18" s="19">
        <v>0.3</v>
      </c>
      <c r="G18" s="19">
        <v>0.4</v>
      </c>
      <c r="H18" s="19">
        <v>0.5</v>
      </c>
      <c r="I18" s="19">
        <v>0.6</v>
      </c>
      <c r="J18" s="19">
        <v>0.7</v>
      </c>
      <c r="K18" s="19">
        <v>0.8</v>
      </c>
      <c r="L18" s="19" t="s">
        <v>125</v>
      </c>
      <c r="M18" s="19" t="s">
        <v>125</v>
      </c>
    </row>
    <row r="19" spans="1:13" x14ac:dyDescent="0.2">
      <c r="A19" s="19" t="s">
        <v>124</v>
      </c>
      <c r="B19" s="19" t="s">
        <v>19</v>
      </c>
      <c r="C19" s="19" t="s">
        <v>122</v>
      </c>
      <c r="D19" s="19" t="s">
        <v>361</v>
      </c>
      <c r="E19" s="19">
        <v>182.5</v>
      </c>
      <c r="F19" s="19">
        <v>182.5</v>
      </c>
      <c r="G19" s="19">
        <v>365</v>
      </c>
      <c r="H19" s="19">
        <v>547.5</v>
      </c>
      <c r="I19" s="19">
        <v>730</v>
      </c>
      <c r="J19" s="19">
        <v>730</v>
      </c>
      <c r="K19" s="19">
        <v>730</v>
      </c>
      <c r="L19" s="19" t="s">
        <v>125</v>
      </c>
      <c r="M19" s="19" t="s">
        <v>125</v>
      </c>
    </row>
    <row r="20" spans="1:13" x14ac:dyDescent="0.2">
      <c r="A20" s="19" t="s">
        <v>28</v>
      </c>
      <c r="B20" s="19" t="s">
        <v>15</v>
      </c>
      <c r="C20" s="19" t="s">
        <v>99</v>
      </c>
      <c r="D20" s="19" t="s">
        <v>362</v>
      </c>
      <c r="E20" s="19">
        <v>286</v>
      </c>
      <c r="F20" s="19" t="s">
        <v>125</v>
      </c>
      <c r="G20" s="19" t="s">
        <v>125</v>
      </c>
      <c r="H20" s="19" t="s">
        <v>125</v>
      </c>
      <c r="I20" s="19" t="s">
        <v>125</v>
      </c>
      <c r="J20" s="19" t="s">
        <v>125</v>
      </c>
      <c r="K20" s="19" t="s">
        <v>125</v>
      </c>
      <c r="L20" s="19" t="s">
        <v>125</v>
      </c>
      <c r="M20" s="19" t="s">
        <v>125</v>
      </c>
    </row>
    <row r="21" spans="1:13" x14ac:dyDescent="0.2">
      <c r="A21" s="19" t="s">
        <v>29</v>
      </c>
      <c r="C21" s="19" t="s">
        <v>100</v>
      </c>
      <c r="D21" s="19" t="s">
        <v>29</v>
      </c>
      <c r="E21" s="19">
        <v>0</v>
      </c>
      <c r="F21" s="19" t="s">
        <v>125</v>
      </c>
      <c r="G21" s="19" t="s">
        <v>125</v>
      </c>
      <c r="H21" s="19" t="s">
        <v>125</v>
      </c>
      <c r="I21" s="19" t="s">
        <v>125</v>
      </c>
      <c r="J21" s="19" t="s">
        <v>125</v>
      </c>
      <c r="K21" s="19" t="s">
        <v>125</v>
      </c>
      <c r="L21" s="19" t="s">
        <v>125</v>
      </c>
      <c r="M21" s="19" t="s">
        <v>125</v>
      </c>
    </row>
    <row r="22" spans="1:13" x14ac:dyDescent="0.2">
      <c r="A22" s="19" t="s">
        <v>30</v>
      </c>
      <c r="C22" s="19" t="s">
        <v>101</v>
      </c>
      <c r="D22" s="19" t="s">
        <v>363</v>
      </c>
      <c r="E22" s="19">
        <v>0.75</v>
      </c>
      <c r="F22" s="19">
        <v>1</v>
      </c>
      <c r="G22" s="19">
        <v>1</v>
      </c>
      <c r="H22" s="19">
        <v>0.625</v>
      </c>
      <c r="I22" s="19">
        <v>0.3</v>
      </c>
      <c r="J22" s="19" t="s">
        <v>125</v>
      </c>
      <c r="K22" s="19" t="s">
        <v>125</v>
      </c>
      <c r="L22" s="19" t="s">
        <v>125</v>
      </c>
      <c r="M22" s="19" t="s">
        <v>125</v>
      </c>
    </row>
    <row r="23" spans="1:13" x14ac:dyDescent="0.2">
      <c r="A23" s="19" t="s">
        <v>31</v>
      </c>
      <c r="C23" s="19" t="s">
        <v>102</v>
      </c>
      <c r="D23" s="19" t="s">
        <v>364</v>
      </c>
      <c r="E23" s="19">
        <v>1.5</v>
      </c>
      <c r="F23" s="19">
        <v>3.5</v>
      </c>
      <c r="G23" s="19">
        <v>8</v>
      </c>
      <c r="H23" s="19">
        <v>15</v>
      </c>
      <c r="I23" s="19">
        <v>20</v>
      </c>
      <c r="J23" s="19" t="s">
        <v>125</v>
      </c>
      <c r="K23" s="19" t="s">
        <v>125</v>
      </c>
      <c r="L23" s="19" t="s">
        <v>125</v>
      </c>
      <c r="M23" s="19" t="s">
        <v>125</v>
      </c>
    </row>
    <row r="24" spans="1:13" x14ac:dyDescent="0.2">
      <c r="A24" s="19" t="s">
        <v>32</v>
      </c>
      <c r="C24" s="19" t="s">
        <v>378</v>
      </c>
      <c r="D24" s="19" t="s">
        <v>365</v>
      </c>
      <c r="E24" s="19">
        <v>330</v>
      </c>
      <c r="F24" s="19">
        <v>215</v>
      </c>
      <c r="G24" s="19">
        <v>145</v>
      </c>
      <c r="H24" s="19">
        <v>160</v>
      </c>
      <c r="I24" s="19">
        <v>160</v>
      </c>
      <c r="J24" s="19">
        <v>160</v>
      </c>
      <c r="K24" s="19">
        <v>160</v>
      </c>
      <c r="L24" s="19" t="s">
        <v>125</v>
      </c>
      <c r="M24" s="19" t="s">
        <v>125</v>
      </c>
    </row>
    <row r="25" spans="1:13" x14ac:dyDescent="0.2">
      <c r="B25" s="19" t="s">
        <v>22</v>
      </c>
      <c r="C25" s="19" t="s">
        <v>104</v>
      </c>
      <c r="D25" s="19" t="s">
        <v>140</v>
      </c>
      <c r="E25" s="19">
        <v>1.5</v>
      </c>
      <c r="F25" s="19">
        <v>3.5</v>
      </c>
      <c r="G25" s="19">
        <v>4.5</v>
      </c>
      <c r="H25" s="19">
        <v>7</v>
      </c>
      <c r="I25" s="19">
        <v>10</v>
      </c>
      <c r="J25" s="19">
        <v>15</v>
      </c>
      <c r="K25" s="19">
        <v>20</v>
      </c>
      <c r="L25" s="19" t="s">
        <v>125</v>
      </c>
      <c r="M25" s="19" t="s">
        <v>125</v>
      </c>
    </row>
    <row r="26" spans="1:13" x14ac:dyDescent="0.2">
      <c r="A26" s="19" t="s">
        <v>33</v>
      </c>
      <c r="C26" s="19" t="s">
        <v>105</v>
      </c>
      <c r="D26" s="19" t="s">
        <v>366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0.5</v>
      </c>
      <c r="M26" s="19">
        <v>1</v>
      </c>
    </row>
    <row r="27" spans="1:13" x14ac:dyDescent="0.2">
      <c r="A27" s="19" t="s">
        <v>34</v>
      </c>
      <c r="C27" s="19" t="s">
        <v>106</v>
      </c>
      <c r="D27" s="19" t="s">
        <v>367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0.5</v>
      </c>
      <c r="M27" s="19">
        <v>1</v>
      </c>
    </row>
    <row r="28" spans="1:13" x14ac:dyDescent="0.2">
      <c r="A28" s="19" t="s">
        <v>35</v>
      </c>
      <c r="B28" s="19" t="s">
        <v>22</v>
      </c>
      <c r="C28" s="19" t="s">
        <v>107</v>
      </c>
      <c r="D28" s="19" t="s">
        <v>385</v>
      </c>
      <c r="E28" s="19">
        <v>0</v>
      </c>
      <c r="F28" s="19">
        <v>1</v>
      </c>
      <c r="G28" s="19">
        <v>2</v>
      </c>
      <c r="H28" s="19">
        <v>3</v>
      </c>
      <c r="I28" s="19">
        <v>4</v>
      </c>
      <c r="J28" s="19">
        <v>5</v>
      </c>
      <c r="K28" s="19">
        <v>12</v>
      </c>
      <c r="L28" s="19">
        <v>15</v>
      </c>
      <c r="M28" s="19">
        <v>20</v>
      </c>
    </row>
    <row r="29" spans="1:13" x14ac:dyDescent="0.2">
      <c r="A29" s="19" t="s">
        <v>36</v>
      </c>
      <c r="C29" s="19" t="s">
        <v>108</v>
      </c>
      <c r="D29" s="19" t="s">
        <v>368</v>
      </c>
      <c r="E29" s="19">
        <v>10</v>
      </c>
      <c r="F29" s="19" t="s">
        <v>125</v>
      </c>
      <c r="G29" s="19" t="s">
        <v>125</v>
      </c>
      <c r="H29" s="19" t="s">
        <v>125</v>
      </c>
      <c r="I29" s="19" t="s">
        <v>125</v>
      </c>
      <c r="J29" s="19" t="s">
        <v>125</v>
      </c>
      <c r="K29" s="19" t="s">
        <v>125</v>
      </c>
      <c r="L29" s="19" t="s">
        <v>125</v>
      </c>
      <c r="M29" s="19" t="s">
        <v>125</v>
      </c>
    </row>
    <row r="30" spans="1:13" x14ac:dyDescent="0.2">
      <c r="C30" s="19" t="s">
        <v>109</v>
      </c>
      <c r="D30" s="19" t="s">
        <v>248</v>
      </c>
      <c r="E30" s="19">
        <v>130</v>
      </c>
      <c r="F30" s="19" t="s">
        <v>125</v>
      </c>
      <c r="G30" s="19" t="s">
        <v>125</v>
      </c>
      <c r="H30" s="19" t="s">
        <v>125</v>
      </c>
      <c r="I30" s="19" t="s">
        <v>125</v>
      </c>
      <c r="J30" s="19" t="s">
        <v>125</v>
      </c>
      <c r="K30" s="19" t="s">
        <v>125</v>
      </c>
      <c r="L30" s="19" t="s">
        <v>125</v>
      </c>
      <c r="M30" s="19" t="s">
        <v>125</v>
      </c>
    </row>
    <row r="31" spans="1:13" x14ac:dyDescent="0.2">
      <c r="C31" s="19" t="s">
        <v>110</v>
      </c>
      <c r="D31" s="19" t="s">
        <v>246</v>
      </c>
      <c r="E31" s="19">
        <v>19.600000000000001</v>
      </c>
      <c r="F31" s="19" t="s">
        <v>125</v>
      </c>
      <c r="G31" s="19" t="s">
        <v>125</v>
      </c>
      <c r="H31" s="19" t="s">
        <v>125</v>
      </c>
      <c r="I31" s="19" t="s">
        <v>125</v>
      </c>
      <c r="J31" s="19" t="s">
        <v>125</v>
      </c>
      <c r="K31" s="19" t="s">
        <v>125</v>
      </c>
      <c r="L31" s="19" t="s">
        <v>125</v>
      </c>
      <c r="M31" s="19" t="s">
        <v>125</v>
      </c>
    </row>
    <row r="32" spans="1:13" x14ac:dyDescent="0.2">
      <c r="A32" s="19" t="s">
        <v>4</v>
      </c>
      <c r="C32" s="19" t="s">
        <v>111</v>
      </c>
      <c r="D32" s="19" t="s">
        <v>369</v>
      </c>
      <c r="E32" s="19">
        <v>3.2</v>
      </c>
      <c r="F32" s="19" t="s">
        <v>125</v>
      </c>
      <c r="G32" s="19" t="s">
        <v>125</v>
      </c>
      <c r="H32" s="19" t="s">
        <v>125</v>
      </c>
      <c r="I32" s="19" t="s">
        <v>125</v>
      </c>
      <c r="J32" s="19" t="s">
        <v>125</v>
      </c>
      <c r="K32" s="19" t="s">
        <v>125</v>
      </c>
      <c r="L32" s="19" t="s">
        <v>125</v>
      </c>
      <c r="M32" s="19" t="s">
        <v>125</v>
      </c>
    </row>
    <row r="33" spans="1:14" x14ac:dyDescent="0.2">
      <c r="A33" s="19" t="s">
        <v>37</v>
      </c>
      <c r="B33" s="19" t="s">
        <v>38</v>
      </c>
      <c r="C33" s="19" t="s">
        <v>112</v>
      </c>
      <c r="D33" s="19" t="s">
        <v>370</v>
      </c>
      <c r="E33" s="19">
        <v>1825</v>
      </c>
      <c r="F33" s="19">
        <v>1825</v>
      </c>
      <c r="G33" s="19">
        <v>0</v>
      </c>
      <c r="H33" s="19" t="s">
        <v>125</v>
      </c>
      <c r="I33" s="19" t="s">
        <v>125</v>
      </c>
      <c r="J33" s="19" t="s">
        <v>125</v>
      </c>
      <c r="K33" s="19" t="s">
        <v>125</v>
      </c>
      <c r="L33" s="19" t="s">
        <v>125</v>
      </c>
      <c r="M33" s="19" t="s">
        <v>125</v>
      </c>
    </row>
    <row r="34" spans="1:14" x14ac:dyDescent="0.2">
      <c r="A34" s="19" t="s">
        <v>39</v>
      </c>
      <c r="B34" s="19" t="s">
        <v>22</v>
      </c>
      <c r="C34" s="19" t="s">
        <v>113</v>
      </c>
      <c r="D34" s="19" t="s">
        <v>371</v>
      </c>
      <c r="E34" s="19">
        <v>0</v>
      </c>
      <c r="F34" s="31">
        <v>8.3333333333333301E-2</v>
      </c>
      <c r="G34" s="19">
        <v>0.84166666666666701</v>
      </c>
      <c r="H34" s="19" t="s">
        <v>125</v>
      </c>
      <c r="I34" s="19" t="s">
        <v>125</v>
      </c>
      <c r="J34" s="19" t="s">
        <v>125</v>
      </c>
      <c r="K34" s="19" t="s">
        <v>125</v>
      </c>
      <c r="L34" s="19" t="s">
        <v>125</v>
      </c>
      <c r="M34" s="19" t="s">
        <v>125</v>
      </c>
    </row>
    <row r="35" spans="1:14" x14ac:dyDescent="0.2">
      <c r="A35" s="19" t="s">
        <v>40</v>
      </c>
      <c r="C35" s="19" t="s">
        <v>114</v>
      </c>
      <c r="D35" s="19" t="s">
        <v>372</v>
      </c>
      <c r="E35" s="19">
        <v>27</v>
      </c>
      <c r="F35" s="19">
        <v>32</v>
      </c>
      <c r="G35" s="19">
        <v>37</v>
      </c>
      <c r="H35" s="19">
        <v>40</v>
      </c>
      <c r="I35" s="19">
        <v>42</v>
      </c>
      <c r="J35" s="19" t="s">
        <v>125</v>
      </c>
      <c r="K35" s="19" t="s">
        <v>125</v>
      </c>
      <c r="L35" s="19" t="s">
        <v>125</v>
      </c>
      <c r="M35" s="19" t="s">
        <v>125</v>
      </c>
    </row>
    <row r="36" spans="1:14" x14ac:dyDescent="0.2">
      <c r="A36" s="19" t="s">
        <v>41</v>
      </c>
      <c r="B36" s="19" t="s">
        <v>22</v>
      </c>
      <c r="C36" s="19" t="s">
        <v>115</v>
      </c>
      <c r="D36" s="19" t="s">
        <v>373</v>
      </c>
      <c r="E36" s="19">
        <v>0</v>
      </c>
      <c r="F36" s="19">
        <v>0.25</v>
      </c>
      <c r="G36" s="19">
        <v>0.5</v>
      </c>
      <c r="H36" s="19">
        <v>0.83333333333333304</v>
      </c>
      <c r="I36" s="19">
        <v>1.5</v>
      </c>
      <c r="J36" s="19" t="s">
        <v>125</v>
      </c>
      <c r="K36" s="19" t="s">
        <v>125</v>
      </c>
      <c r="L36" s="19" t="s">
        <v>125</v>
      </c>
      <c r="M36" s="19" t="s">
        <v>125</v>
      </c>
    </row>
    <row r="37" spans="1:14" x14ac:dyDescent="0.2">
      <c r="A37" s="32" t="s">
        <v>42</v>
      </c>
      <c r="C37" s="19" t="s">
        <v>116</v>
      </c>
      <c r="D37" s="32" t="s">
        <v>388</v>
      </c>
      <c r="E37" s="19">
        <v>0.8</v>
      </c>
      <c r="F37" s="19">
        <v>0.8</v>
      </c>
      <c r="G37" s="19">
        <v>1</v>
      </c>
      <c r="H37" s="19">
        <v>1</v>
      </c>
      <c r="I37" s="19">
        <v>0.6</v>
      </c>
      <c r="J37" s="19">
        <v>0.3</v>
      </c>
      <c r="K37" s="19" t="s">
        <v>125</v>
      </c>
      <c r="L37" s="19" t="s">
        <v>125</v>
      </c>
      <c r="M37" s="19" t="s">
        <v>125</v>
      </c>
    </row>
    <row r="38" spans="1:14" x14ac:dyDescent="0.2">
      <c r="A38" s="32" t="s">
        <v>43</v>
      </c>
      <c r="C38" s="19" t="s">
        <v>117</v>
      </c>
      <c r="D38" s="19" t="s">
        <v>374</v>
      </c>
      <c r="E38" s="19">
        <v>1.5</v>
      </c>
      <c r="F38" s="19">
        <v>3</v>
      </c>
      <c r="G38" s="19">
        <v>5</v>
      </c>
      <c r="H38" s="19">
        <v>8</v>
      </c>
      <c r="I38" s="19">
        <v>15</v>
      </c>
      <c r="J38" s="19">
        <v>20</v>
      </c>
      <c r="K38" s="19" t="s">
        <v>125</v>
      </c>
      <c r="L38" s="19" t="s">
        <v>125</v>
      </c>
      <c r="M38" s="19" t="s">
        <v>125</v>
      </c>
    </row>
    <row r="39" spans="1:14" x14ac:dyDescent="0.2">
      <c r="A39" s="32" t="s">
        <v>126</v>
      </c>
      <c r="C39" s="19" t="s">
        <v>130</v>
      </c>
      <c r="D39" s="19" t="s">
        <v>375</v>
      </c>
      <c r="E39" s="19">
        <v>22</v>
      </c>
      <c r="F39" s="19" t="s">
        <v>125</v>
      </c>
      <c r="G39" s="19" t="s">
        <v>125</v>
      </c>
      <c r="H39" s="19" t="s">
        <v>125</v>
      </c>
      <c r="I39" s="19" t="s">
        <v>125</v>
      </c>
      <c r="J39" s="19" t="s">
        <v>125</v>
      </c>
      <c r="K39" s="19" t="s">
        <v>125</v>
      </c>
      <c r="L39" s="19" t="s">
        <v>125</v>
      </c>
      <c r="M39" s="19" t="s">
        <v>125</v>
      </c>
    </row>
    <row r="40" spans="1:14" x14ac:dyDescent="0.2">
      <c r="C40" s="19" t="s">
        <v>118</v>
      </c>
      <c r="D40" s="19" t="s">
        <v>376</v>
      </c>
      <c r="E40" s="19">
        <v>1</v>
      </c>
      <c r="F40" s="19" t="s">
        <v>125</v>
      </c>
      <c r="G40" s="19" t="s">
        <v>125</v>
      </c>
      <c r="H40" s="19" t="s">
        <v>125</v>
      </c>
      <c r="I40" s="19" t="s">
        <v>125</v>
      </c>
      <c r="J40" s="19" t="s">
        <v>125</v>
      </c>
      <c r="K40" s="19" t="s">
        <v>125</v>
      </c>
      <c r="L40" s="19" t="s">
        <v>125</v>
      </c>
      <c r="M40" s="19" t="s">
        <v>125</v>
      </c>
    </row>
    <row r="41" spans="1:14" x14ac:dyDescent="0.2">
      <c r="A41" s="32" t="s">
        <v>136</v>
      </c>
      <c r="B41" s="19" t="s">
        <v>135</v>
      </c>
      <c r="C41" s="19" t="s">
        <v>134</v>
      </c>
      <c r="D41" s="19" t="s">
        <v>275</v>
      </c>
      <c r="E41" s="19">
        <v>1.5</v>
      </c>
      <c r="F41" s="19" t="s">
        <v>125</v>
      </c>
      <c r="G41" s="19" t="s">
        <v>125</v>
      </c>
      <c r="H41" s="19" t="s">
        <v>125</v>
      </c>
      <c r="I41" s="19" t="s">
        <v>125</v>
      </c>
      <c r="J41" s="19" t="s">
        <v>125</v>
      </c>
      <c r="K41" s="19" t="s">
        <v>125</v>
      </c>
      <c r="L41" s="19" t="s">
        <v>125</v>
      </c>
      <c r="M41" s="19" t="s">
        <v>125</v>
      </c>
    </row>
    <row r="42" spans="1:14" x14ac:dyDescent="0.2">
      <c r="A42" s="32" t="s">
        <v>151</v>
      </c>
      <c r="C42" s="19" t="s">
        <v>147</v>
      </c>
      <c r="D42" s="19" t="s">
        <v>377</v>
      </c>
      <c r="E42" s="19">
        <v>1</v>
      </c>
      <c r="F42" s="19">
        <v>1</v>
      </c>
      <c r="G42" s="19">
        <v>1</v>
      </c>
      <c r="H42" s="19">
        <v>1</v>
      </c>
      <c r="I42" s="19">
        <v>1</v>
      </c>
      <c r="J42" s="19" t="s">
        <v>125</v>
      </c>
      <c r="K42" s="19" t="s">
        <v>125</v>
      </c>
      <c r="L42" s="19" t="s">
        <v>125</v>
      </c>
      <c r="M42" s="19" t="s">
        <v>125</v>
      </c>
      <c r="N42" s="33"/>
    </row>
    <row r="56" spans="7:7" x14ac:dyDescent="0.2">
      <c r="G56" s="31"/>
    </row>
    <row r="75" spans="7:7" x14ac:dyDescent="0.2">
      <c r="G75" s="31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>
    <tabColor indexed="43"/>
  </sheetPr>
  <dimension ref="A1:V86"/>
  <sheetViews>
    <sheetView workbookViewId="0">
      <selection activeCell="E3" sqref="E3:M42"/>
    </sheetView>
  </sheetViews>
  <sheetFormatPr defaultColWidth="11.42578125" defaultRowHeight="12.75" x14ac:dyDescent="0.2"/>
  <cols>
    <col min="1" max="1" width="28.85546875" style="19" bestFit="1" customWidth="1"/>
    <col min="2" max="2" width="17" style="19" customWidth="1"/>
    <col min="3" max="3" width="19.42578125" style="19" customWidth="1"/>
    <col min="4" max="4" width="12.7109375" style="19" bestFit="1" customWidth="1"/>
    <col min="5" max="13" width="8.7109375" style="19" customWidth="1"/>
    <col min="14" max="14" width="11.42578125" style="19"/>
    <col min="15" max="16384" width="11.42578125" style="21"/>
  </cols>
  <sheetData>
    <row r="1" spans="1:14" x14ac:dyDescent="0.2">
      <c r="A1" s="14" t="s">
        <v>16</v>
      </c>
    </row>
    <row r="2" spans="1:14" x14ac:dyDescent="0.2">
      <c r="A2" s="14"/>
      <c r="B2" s="14" t="s">
        <v>11</v>
      </c>
      <c r="C2" s="14" t="s">
        <v>12</v>
      </c>
      <c r="D2" s="14"/>
      <c r="E2" s="14" t="s">
        <v>13</v>
      </c>
      <c r="F2" s="32"/>
      <c r="G2" s="32"/>
      <c r="H2" s="32"/>
      <c r="I2" s="32"/>
      <c r="J2" s="32"/>
      <c r="K2" s="32"/>
      <c r="L2" s="32"/>
      <c r="M2" s="32"/>
    </row>
    <row r="3" spans="1:14" x14ac:dyDescent="0.2">
      <c r="A3" s="19" t="s">
        <v>17</v>
      </c>
      <c r="C3" s="19" t="s">
        <v>86</v>
      </c>
      <c r="D3" s="32" t="s">
        <v>387</v>
      </c>
      <c r="E3" s="19">
        <v>0.03</v>
      </c>
      <c r="F3" s="19" t="s">
        <v>125</v>
      </c>
      <c r="G3" s="19" t="s">
        <v>125</v>
      </c>
      <c r="H3" s="19" t="s">
        <v>125</v>
      </c>
      <c r="I3" s="19" t="s">
        <v>125</v>
      </c>
      <c r="J3" s="19" t="s">
        <v>125</v>
      </c>
      <c r="K3" s="19" t="s">
        <v>125</v>
      </c>
      <c r="L3" s="19" t="s">
        <v>125</v>
      </c>
      <c r="M3" s="19" t="s">
        <v>125</v>
      </c>
    </row>
    <row r="4" spans="1:14" x14ac:dyDescent="0.2">
      <c r="A4" s="19" t="s">
        <v>18</v>
      </c>
      <c r="B4" s="19" t="s">
        <v>19</v>
      </c>
      <c r="C4" s="19" t="s">
        <v>87</v>
      </c>
      <c r="D4" s="19" t="s">
        <v>346</v>
      </c>
      <c r="E4" s="19">
        <v>620</v>
      </c>
      <c r="F4" s="19" t="s">
        <v>125</v>
      </c>
      <c r="G4" s="19" t="s">
        <v>125</v>
      </c>
      <c r="H4" s="19" t="s">
        <v>125</v>
      </c>
      <c r="I4" s="19" t="s">
        <v>125</v>
      </c>
      <c r="J4" s="19" t="s">
        <v>125</v>
      </c>
      <c r="K4" s="19" t="s">
        <v>125</v>
      </c>
      <c r="L4" s="19" t="s">
        <v>125</v>
      </c>
      <c r="M4" s="19" t="s">
        <v>125</v>
      </c>
    </row>
    <row r="5" spans="1:14" x14ac:dyDescent="0.2">
      <c r="A5" s="19" t="s">
        <v>20</v>
      </c>
      <c r="B5" s="19" t="s">
        <v>19</v>
      </c>
      <c r="C5" s="19" t="s">
        <v>88</v>
      </c>
      <c r="D5" s="19" t="s">
        <v>347</v>
      </c>
      <c r="E5" s="19">
        <v>550</v>
      </c>
      <c r="F5" s="19" t="s">
        <v>125</v>
      </c>
      <c r="G5" s="19" t="s">
        <v>125</v>
      </c>
      <c r="H5" s="19" t="s">
        <v>125</v>
      </c>
      <c r="I5" s="19" t="s">
        <v>125</v>
      </c>
      <c r="J5" s="19" t="s">
        <v>125</v>
      </c>
      <c r="K5" s="19" t="s">
        <v>125</v>
      </c>
      <c r="L5" s="19" t="s">
        <v>125</v>
      </c>
      <c r="M5" s="19" t="s">
        <v>125</v>
      </c>
    </row>
    <row r="6" spans="1:14" x14ac:dyDescent="0.2">
      <c r="A6" s="19" t="s">
        <v>21</v>
      </c>
      <c r="B6" s="19" t="s">
        <v>19</v>
      </c>
      <c r="C6" s="19" t="s">
        <v>89</v>
      </c>
      <c r="D6" s="19" t="s">
        <v>348</v>
      </c>
      <c r="E6" s="19">
        <v>30</v>
      </c>
      <c r="F6" s="19">
        <v>180</v>
      </c>
      <c r="G6" s="19">
        <v>350</v>
      </c>
      <c r="H6" s="19">
        <v>400</v>
      </c>
      <c r="I6" s="19">
        <v>460</v>
      </c>
      <c r="J6" s="19">
        <v>480</v>
      </c>
      <c r="K6" s="19">
        <v>520</v>
      </c>
      <c r="L6" s="19">
        <v>550</v>
      </c>
      <c r="M6" s="19">
        <v>550</v>
      </c>
      <c r="N6" s="23"/>
    </row>
    <row r="7" spans="1:14" x14ac:dyDescent="0.2">
      <c r="B7" s="19" t="s">
        <v>22</v>
      </c>
      <c r="C7" s="19" t="s">
        <v>90</v>
      </c>
      <c r="D7" s="19" t="s">
        <v>349</v>
      </c>
      <c r="E7" s="19">
        <v>0</v>
      </c>
      <c r="F7" s="19">
        <v>0.66666666666666696</v>
      </c>
      <c r="G7" s="19">
        <v>1.9166666666666701</v>
      </c>
      <c r="H7" s="19">
        <v>2.3333333333333299</v>
      </c>
      <c r="I7" s="19">
        <v>3.75</v>
      </c>
      <c r="J7" s="19">
        <v>4.5</v>
      </c>
      <c r="K7" s="19">
        <v>6.6666666666666696</v>
      </c>
      <c r="L7" s="19">
        <v>11.6666666666667</v>
      </c>
      <c r="M7" s="19">
        <v>20</v>
      </c>
    </row>
    <row r="8" spans="1:14" x14ac:dyDescent="0.2">
      <c r="A8" s="19" t="s">
        <v>23</v>
      </c>
      <c r="B8" s="19" t="s">
        <v>19</v>
      </c>
      <c r="C8" s="19" t="s">
        <v>91</v>
      </c>
      <c r="D8" s="19" t="s">
        <v>350</v>
      </c>
      <c r="E8" s="19">
        <v>30</v>
      </c>
      <c r="F8" s="19">
        <v>220</v>
      </c>
      <c r="G8" s="19">
        <v>380</v>
      </c>
      <c r="H8" s="19">
        <v>420</v>
      </c>
      <c r="I8" s="19">
        <v>500</v>
      </c>
      <c r="J8" s="19">
        <v>550</v>
      </c>
      <c r="K8" s="19">
        <v>600</v>
      </c>
      <c r="L8" s="19">
        <v>610</v>
      </c>
      <c r="M8" s="19">
        <v>620</v>
      </c>
    </row>
    <row r="9" spans="1:14" x14ac:dyDescent="0.2">
      <c r="B9" s="19" t="s">
        <v>22</v>
      </c>
      <c r="C9" s="19" t="s">
        <v>92</v>
      </c>
      <c r="D9" s="19" t="s">
        <v>351</v>
      </c>
      <c r="E9" s="19">
        <v>0</v>
      </c>
      <c r="F9" s="19">
        <v>0.66666666666666696</v>
      </c>
      <c r="G9" s="19">
        <v>1.5</v>
      </c>
      <c r="H9" s="19">
        <v>1.9166666666666701</v>
      </c>
      <c r="I9" s="19">
        <v>3</v>
      </c>
      <c r="J9" s="19">
        <v>4</v>
      </c>
      <c r="K9" s="19">
        <v>6.6666666666666696</v>
      </c>
      <c r="L9" s="19">
        <v>11.6666666666667</v>
      </c>
      <c r="M9" s="19">
        <v>20</v>
      </c>
    </row>
    <row r="10" spans="1:14" x14ac:dyDescent="0.2">
      <c r="A10" s="19" t="s">
        <v>24</v>
      </c>
      <c r="B10" s="19" t="s">
        <v>19</v>
      </c>
      <c r="C10" s="19" t="s">
        <v>93</v>
      </c>
      <c r="D10" s="19" t="s">
        <v>352</v>
      </c>
      <c r="E10" s="19">
        <v>30</v>
      </c>
      <c r="F10" s="19">
        <v>180</v>
      </c>
      <c r="G10" s="19">
        <v>350</v>
      </c>
      <c r="H10" s="19">
        <v>400</v>
      </c>
      <c r="I10" s="19">
        <v>460</v>
      </c>
      <c r="J10" s="19">
        <v>480</v>
      </c>
      <c r="K10" s="19">
        <v>520</v>
      </c>
      <c r="L10" s="19">
        <v>550</v>
      </c>
      <c r="M10" s="19">
        <v>550</v>
      </c>
    </row>
    <row r="11" spans="1:14" x14ac:dyDescent="0.2">
      <c r="B11" s="19" t="s">
        <v>22</v>
      </c>
      <c r="C11" s="19" t="s">
        <v>94</v>
      </c>
      <c r="D11" s="19" t="s">
        <v>353</v>
      </c>
      <c r="E11" s="19">
        <v>0</v>
      </c>
      <c r="F11" s="19">
        <v>0.66666666666666696</v>
      </c>
      <c r="G11" s="19">
        <v>1.9166666666666701</v>
      </c>
      <c r="H11" s="19">
        <v>2.3333333333333299</v>
      </c>
      <c r="I11" s="19">
        <v>3.75</v>
      </c>
      <c r="J11" s="19">
        <v>4.5</v>
      </c>
      <c r="K11" s="19">
        <v>6.6666666666666696</v>
      </c>
      <c r="L11" s="19">
        <v>11.6666666666667</v>
      </c>
      <c r="M11" s="19">
        <v>20</v>
      </c>
    </row>
    <row r="12" spans="1:14" x14ac:dyDescent="0.2">
      <c r="A12" s="19" t="s">
        <v>25</v>
      </c>
      <c r="B12" s="19" t="s">
        <v>19</v>
      </c>
      <c r="C12" s="19" t="s">
        <v>95</v>
      </c>
      <c r="D12" s="19" t="s">
        <v>354</v>
      </c>
      <c r="E12" s="19">
        <v>30</v>
      </c>
      <c r="F12" s="19">
        <v>50</v>
      </c>
      <c r="G12" s="19">
        <v>80</v>
      </c>
      <c r="H12" s="19">
        <v>90</v>
      </c>
      <c r="I12" s="19">
        <v>120</v>
      </c>
      <c r="J12" s="19">
        <v>140</v>
      </c>
      <c r="K12" s="19">
        <v>166</v>
      </c>
      <c r="L12" s="19">
        <v>220</v>
      </c>
      <c r="M12" s="19">
        <v>220</v>
      </c>
    </row>
    <row r="13" spans="1:14" x14ac:dyDescent="0.2">
      <c r="B13" s="19" t="s">
        <v>22</v>
      </c>
      <c r="C13" s="19" t="s">
        <v>96</v>
      </c>
      <c r="D13" s="19" t="s">
        <v>355</v>
      </c>
      <c r="E13" s="19">
        <v>0</v>
      </c>
      <c r="F13" s="19">
        <v>0.66666666666666696</v>
      </c>
      <c r="G13" s="19">
        <v>1.9166666666666701</v>
      </c>
      <c r="H13" s="19">
        <v>2.3333333333333299</v>
      </c>
      <c r="I13" s="19">
        <v>3.75</v>
      </c>
      <c r="J13" s="19">
        <v>4.5</v>
      </c>
      <c r="K13" s="19">
        <v>6.6666666666666696</v>
      </c>
      <c r="L13" s="19">
        <v>11.6666666666667</v>
      </c>
      <c r="M13" s="19">
        <v>20</v>
      </c>
    </row>
    <row r="14" spans="1:14" x14ac:dyDescent="0.2">
      <c r="A14" s="19" t="s">
        <v>26</v>
      </c>
      <c r="C14" s="19" t="s">
        <v>97</v>
      </c>
      <c r="D14" s="19" t="s">
        <v>356</v>
      </c>
      <c r="E14" s="19">
        <v>256</v>
      </c>
      <c r="F14" s="19">
        <v>256</v>
      </c>
      <c r="G14" s="19">
        <v>0</v>
      </c>
      <c r="H14" s="19">
        <v>0</v>
      </c>
      <c r="I14" s="19" t="s">
        <v>125</v>
      </c>
      <c r="J14" s="19" t="s">
        <v>125</v>
      </c>
      <c r="K14" s="19" t="s">
        <v>125</v>
      </c>
      <c r="L14" s="19" t="s">
        <v>125</v>
      </c>
      <c r="M14" s="19" t="s">
        <v>125</v>
      </c>
    </row>
    <row r="15" spans="1:14" x14ac:dyDescent="0.2">
      <c r="A15" s="19" t="s">
        <v>27</v>
      </c>
      <c r="B15" s="19" t="s">
        <v>22</v>
      </c>
      <c r="C15" s="19" t="s">
        <v>98</v>
      </c>
      <c r="D15" s="19" t="s">
        <v>357</v>
      </c>
      <c r="E15" s="19">
        <v>0</v>
      </c>
      <c r="F15" s="31">
        <v>8.3333333333333301E-2</v>
      </c>
      <c r="G15" s="19">
        <v>0.83333333333333304</v>
      </c>
      <c r="H15" s="19">
        <v>1.5</v>
      </c>
      <c r="I15" s="19" t="s">
        <v>125</v>
      </c>
      <c r="J15" s="19" t="s">
        <v>125</v>
      </c>
      <c r="K15" s="19" t="s">
        <v>125</v>
      </c>
      <c r="L15" s="19" t="s">
        <v>125</v>
      </c>
      <c r="M15" s="19" t="s">
        <v>125</v>
      </c>
    </row>
    <row r="16" spans="1:14" x14ac:dyDescent="0.2">
      <c r="C16" s="19" t="s">
        <v>119</v>
      </c>
      <c r="D16" s="19" t="s">
        <v>358</v>
      </c>
      <c r="E16" s="19">
        <v>0.2</v>
      </c>
      <c r="F16" s="19">
        <v>0.3</v>
      </c>
      <c r="G16" s="19">
        <v>0.4</v>
      </c>
      <c r="H16" s="19">
        <v>0.5</v>
      </c>
      <c r="I16" s="19">
        <v>0.6</v>
      </c>
      <c r="J16" s="19">
        <v>0.7</v>
      </c>
      <c r="K16" s="19">
        <v>0.8</v>
      </c>
      <c r="L16" s="19" t="s">
        <v>125</v>
      </c>
      <c r="M16" s="19" t="s">
        <v>125</v>
      </c>
    </row>
    <row r="17" spans="1:13" x14ac:dyDescent="0.2">
      <c r="A17" s="32" t="s">
        <v>123</v>
      </c>
      <c r="B17" s="19" t="s">
        <v>19</v>
      </c>
      <c r="C17" s="19" t="s">
        <v>120</v>
      </c>
      <c r="D17" s="19" t="s">
        <v>359</v>
      </c>
      <c r="E17" s="19">
        <v>120</v>
      </c>
      <c r="F17" s="19">
        <v>182.5</v>
      </c>
      <c r="G17" s="19">
        <v>182.5</v>
      </c>
      <c r="H17" s="19">
        <v>365</v>
      </c>
      <c r="I17" s="19">
        <v>547.5</v>
      </c>
      <c r="J17" s="19">
        <v>547.5</v>
      </c>
      <c r="K17" s="19">
        <v>547.5</v>
      </c>
      <c r="L17" s="19" t="s">
        <v>125</v>
      </c>
      <c r="M17" s="19" t="s">
        <v>125</v>
      </c>
    </row>
    <row r="18" spans="1:13" x14ac:dyDescent="0.2">
      <c r="C18" s="19" t="s">
        <v>121</v>
      </c>
      <c r="D18" s="19" t="s">
        <v>360</v>
      </c>
      <c r="E18" s="19">
        <v>0.2</v>
      </c>
      <c r="F18" s="19">
        <v>0.3</v>
      </c>
      <c r="G18" s="19">
        <v>0.4</v>
      </c>
      <c r="H18" s="19">
        <v>0.5</v>
      </c>
      <c r="I18" s="19">
        <v>0.6</v>
      </c>
      <c r="J18" s="19">
        <v>0.7</v>
      </c>
      <c r="K18" s="19">
        <v>0.8</v>
      </c>
      <c r="L18" s="19" t="s">
        <v>125</v>
      </c>
      <c r="M18" s="19" t="s">
        <v>125</v>
      </c>
    </row>
    <row r="19" spans="1:13" x14ac:dyDescent="0.2">
      <c r="A19" s="19" t="s">
        <v>124</v>
      </c>
      <c r="B19" s="19" t="s">
        <v>19</v>
      </c>
      <c r="C19" s="19" t="s">
        <v>122</v>
      </c>
      <c r="D19" s="19" t="s">
        <v>361</v>
      </c>
      <c r="E19" s="19">
        <v>182.5</v>
      </c>
      <c r="F19" s="19">
        <v>182.5</v>
      </c>
      <c r="G19" s="19">
        <v>365</v>
      </c>
      <c r="H19" s="19">
        <v>547.5</v>
      </c>
      <c r="I19" s="19">
        <v>730</v>
      </c>
      <c r="J19" s="19">
        <v>730</v>
      </c>
      <c r="K19" s="19">
        <v>730</v>
      </c>
      <c r="L19" s="19" t="s">
        <v>125</v>
      </c>
      <c r="M19" s="19" t="s">
        <v>125</v>
      </c>
    </row>
    <row r="20" spans="1:13" x14ac:dyDescent="0.2">
      <c r="A20" s="19" t="s">
        <v>28</v>
      </c>
      <c r="B20" s="19" t="s">
        <v>15</v>
      </c>
      <c r="C20" s="19" t="s">
        <v>99</v>
      </c>
      <c r="D20" s="19" t="s">
        <v>362</v>
      </c>
      <c r="E20" s="19">
        <v>286</v>
      </c>
      <c r="F20" s="19" t="s">
        <v>125</v>
      </c>
      <c r="G20" s="19" t="s">
        <v>125</v>
      </c>
      <c r="H20" s="19" t="s">
        <v>125</v>
      </c>
      <c r="I20" s="19" t="s">
        <v>125</v>
      </c>
      <c r="J20" s="19" t="s">
        <v>125</v>
      </c>
      <c r="K20" s="19" t="s">
        <v>125</v>
      </c>
      <c r="L20" s="19" t="s">
        <v>125</v>
      </c>
      <c r="M20" s="19" t="s">
        <v>125</v>
      </c>
    </row>
    <row r="21" spans="1:13" x14ac:dyDescent="0.2">
      <c r="A21" s="19" t="s">
        <v>29</v>
      </c>
      <c r="C21" s="19" t="s">
        <v>100</v>
      </c>
      <c r="D21" s="19" t="s">
        <v>29</v>
      </c>
      <c r="E21" s="19">
        <v>0</v>
      </c>
      <c r="F21" s="19" t="s">
        <v>125</v>
      </c>
      <c r="G21" s="19" t="s">
        <v>125</v>
      </c>
      <c r="H21" s="19" t="s">
        <v>125</v>
      </c>
      <c r="I21" s="19" t="s">
        <v>125</v>
      </c>
      <c r="J21" s="19" t="s">
        <v>125</v>
      </c>
      <c r="K21" s="19" t="s">
        <v>125</v>
      </c>
      <c r="L21" s="19" t="s">
        <v>125</v>
      </c>
      <c r="M21" s="19" t="s">
        <v>125</v>
      </c>
    </row>
    <row r="22" spans="1:13" x14ac:dyDescent="0.2">
      <c r="A22" s="19" t="s">
        <v>30</v>
      </c>
      <c r="C22" s="19" t="s">
        <v>101</v>
      </c>
      <c r="D22" s="19" t="s">
        <v>363</v>
      </c>
      <c r="E22" s="19">
        <v>0.75</v>
      </c>
      <c r="F22" s="19">
        <v>1</v>
      </c>
      <c r="G22" s="19">
        <v>1</v>
      </c>
      <c r="H22" s="19">
        <v>0.625</v>
      </c>
      <c r="I22" s="19">
        <v>0.3</v>
      </c>
      <c r="J22" s="19" t="s">
        <v>125</v>
      </c>
      <c r="K22" s="19" t="s">
        <v>125</v>
      </c>
      <c r="L22" s="19" t="s">
        <v>125</v>
      </c>
      <c r="M22" s="19" t="s">
        <v>125</v>
      </c>
    </row>
    <row r="23" spans="1:13" x14ac:dyDescent="0.2">
      <c r="A23" s="19" t="s">
        <v>31</v>
      </c>
      <c r="C23" s="19" t="s">
        <v>102</v>
      </c>
      <c r="D23" s="19" t="s">
        <v>364</v>
      </c>
      <c r="E23" s="19">
        <v>1.5</v>
      </c>
      <c r="F23" s="19">
        <v>3.5</v>
      </c>
      <c r="G23" s="19">
        <v>8</v>
      </c>
      <c r="H23" s="19">
        <v>15</v>
      </c>
      <c r="I23" s="19">
        <v>20</v>
      </c>
      <c r="J23" s="19" t="s">
        <v>125</v>
      </c>
      <c r="K23" s="19" t="s">
        <v>125</v>
      </c>
      <c r="L23" s="19" t="s">
        <v>125</v>
      </c>
      <c r="M23" s="19" t="s">
        <v>125</v>
      </c>
    </row>
    <row r="24" spans="1:13" x14ac:dyDescent="0.2">
      <c r="A24" s="19" t="s">
        <v>32</v>
      </c>
      <c r="C24" s="19" t="s">
        <v>103</v>
      </c>
      <c r="D24" s="19" t="s">
        <v>365</v>
      </c>
      <c r="E24" s="19">
        <v>300</v>
      </c>
      <c r="F24" s="19">
        <v>215</v>
      </c>
      <c r="G24" s="19">
        <v>145</v>
      </c>
      <c r="H24" s="19">
        <v>175</v>
      </c>
      <c r="I24" s="19">
        <v>200</v>
      </c>
      <c r="J24" s="19">
        <v>220</v>
      </c>
      <c r="K24" s="19">
        <v>220</v>
      </c>
      <c r="L24" s="19" t="s">
        <v>125</v>
      </c>
      <c r="M24" s="19" t="s">
        <v>125</v>
      </c>
    </row>
    <row r="25" spans="1:13" x14ac:dyDescent="0.2">
      <c r="B25" s="19" t="s">
        <v>22</v>
      </c>
      <c r="C25" s="19" t="s">
        <v>104</v>
      </c>
      <c r="D25" s="19" t="s">
        <v>140</v>
      </c>
      <c r="E25" s="19">
        <v>1.5</v>
      </c>
      <c r="F25" s="19">
        <v>2.1666666666666701</v>
      </c>
      <c r="G25" s="19">
        <v>4</v>
      </c>
      <c r="H25" s="19">
        <v>7</v>
      </c>
      <c r="I25" s="19">
        <v>10</v>
      </c>
      <c r="J25" s="19">
        <v>12</v>
      </c>
      <c r="K25" s="19">
        <v>20</v>
      </c>
      <c r="L25" s="19" t="s">
        <v>125</v>
      </c>
      <c r="M25" s="19" t="s">
        <v>125</v>
      </c>
    </row>
    <row r="26" spans="1:13" x14ac:dyDescent="0.2">
      <c r="A26" s="19" t="s">
        <v>33</v>
      </c>
      <c r="C26" s="19" t="s">
        <v>105</v>
      </c>
      <c r="D26" s="19" t="s">
        <v>366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0.5</v>
      </c>
      <c r="M26" s="19">
        <v>1</v>
      </c>
    </row>
    <row r="27" spans="1:13" x14ac:dyDescent="0.2">
      <c r="A27" s="19" t="s">
        <v>34</v>
      </c>
      <c r="C27" s="19" t="s">
        <v>106</v>
      </c>
      <c r="D27" s="19" t="s">
        <v>367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0.5</v>
      </c>
      <c r="M27" s="19">
        <v>1</v>
      </c>
    </row>
    <row r="28" spans="1:13" x14ac:dyDescent="0.2">
      <c r="A28" s="19" t="s">
        <v>35</v>
      </c>
      <c r="B28" s="19" t="s">
        <v>22</v>
      </c>
      <c r="C28" s="19" t="s">
        <v>107</v>
      </c>
      <c r="D28" s="19" t="s">
        <v>385</v>
      </c>
      <c r="E28" s="19">
        <v>0</v>
      </c>
      <c r="F28" s="19">
        <v>1</v>
      </c>
      <c r="G28" s="19">
        <v>2</v>
      </c>
      <c r="H28" s="19">
        <v>3</v>
      </c>
      <c r="I28" s="19">
        <v>4</v>
      </c>
      <c r="J28" s="19">
        <v>5</v>
      </c>
      <c r="K28" s="19">
        <v>12</v>
      </c>
      <c r="L28" s="19">
        <v>15</v>
      </c>
      <c r="M28" s="19">
        <v>20</v>
      </c>
    </row>
    <row r="29" spans="1:13" x14ac:dyDescent="0.2">
      <c r="A29" s="19" t="s">
        <v>36</v>
      </c>
      <c r="B29" s="19" t="s">
        <v>15</v>
      </c>
      <c r="C29" s="19" t="s">
        <v>108</v>
      </c>
      <c r="D29" s="19" t="s">
        <v>368</v>
      </c>
      <c r="E29" s="19">
        <v>10</v>
      </c>
      <c r="F29" s="19" t="s">
        <v>125</v>
      </c>
      <c r="G29" s="19" t="s">
        <v>125</v>
      </c>
      <c r="H29" s="19" t="s">
        <v>125</v>
      </c>
      <c r="I29" s="19" t="s">
        <v>125</v>
      </c>
      <c r="J29" s="19" t="s">
        <v>125</v>
      </c>
      <c r="K29" s="19" t="s">
        <v>125</v>
      </c>
      <c r="L29" s="19" t="s">
        <v>125</v>
      </c>
      <c r="M29" s="19" t="s">
        <v>125</v>
      </c>
    </row>
    <row r="30" spans="1:13" x14ac:dyDescent="0.2">
      <c r="C30" s="19" t="s">
        <v>109</v>
      </c>
      <c r="D30" s="19" t="s">
        <v>248</v>
      </c>
      <c r="E30" s="19">
        <v>130</v>
      </c>
      <c r="F30" s="19" t="s">
        <v>125</v>
      </c>
      <c r="G30" s="19" t="s">
        <v>125</v>
      </c>
      <c r="H30" s="19" t="s">
        <v>125</v>
      </c>
      <c r="I30" s="19" t="s">
        <v>125</v>
      </c>
      <c r="J30" s="19" t="s">
        <v>125</v>
      </c>
      <c r="K30" s="19" t="s">
        <v>125</v>
      </c>
      <c r="L30" s="19" t="s">
        <v>125</v>
      </c>
      <c r="M30" s="19" t="s">
        <v>125</v>
      </c>
    </row>
    <row r="31" spans="1:13" x14ac:dyDescent="0.2">
      <c r="C31" s="19" t="s">
        <v>110</v>
      </c>
      <c r="D31" s="19" t="s">
        <v>246</v>
      </c>
      <c r="E31" s="19">
        <v>19.600000000000001</v>
      </c>
      <c r="F31" s="19" t="s">
        <v>125</v>
      </c>
      <c r="G31" s="19" t="s">
        <v>125</v>
      </c>
      <c r="H31" s="19" t="s">
        <v>125</v>
      </c>
      <c r="I31" s="19" t="s">
        <v>125</v>
      </c>
      <c r="J31" s="19" t="s">
        <v>125</v>
      </c>
      <c r="K31" s="19" t="s">
        <v>125</v>
      </c>
      <c r="L31" s="19" t="s">
        <v>125</v>
      </c>
      <c r="M31" s="19" t="s">
        <v>125</v>
      </c>
    </row>
    <row r="32" spans="1:13" x14ac:dyDescent="0.2">
      <c r="A32" s="19" t="s">
        <v>4</v>
      </c>
      <c r="C32" s="19" t="s">
        <v>111</v>
      </c>
      <c r="D32" s="19" t="s">
        <v>369</v>
      </c>
      <c r="E32" s="19">
        <v>3.2</v>
      </c>
      <c r="F32" s="19" t="s">
        <v>125</v>
      </c>
      <c r="G32" s="19" t="s">
        <v>125</v>
      </c>
      <c r="H32" s="19" t="s">
        <v>125</v>
      </c>
      <c r="I32" s="19" t="s">
        <v>125</v>
      </c>
      <c r="J32" s="19" t="s">
        <v>125</v>
      </c>
      <c r="K32" s="19" t="s">
        <v>125</v>
      </c>
      <c r="L32" s="19" t="s">
        <v>125</v>
      </c>
      <c r="M32" s="19" t="s">
        <v>125</v>
      </c>
    </row>
    <row r="33" spans="1:22" x14ac:dyDescent="0.2">
      <c r="A33" s="19" t="s">
        <v>37</v>
      </c>
      <c r="B33" s="19" t="s">
        <v>38</v>
      </c>
      <c r="C33" s="19" t="s">
        <v>112</v>
      </c>
      <c r="D33" s="19" t="s">
        <v>370</v>
      </c>
      <c r="E33" s="19">
        <v>2555</v>
      </c>
      <c r="F33" s="19">
        <v>2555</v>
      </c>
      <c r="G33" s="19">
        <v>0</v>
      </c>
      <c r="H33" s="19" t="s">
        <v>125</v>
      </c>
      <c r="I33" s="19" t="s">
        <v>125</v>
      </c>
      <c r="J33" s="19" t="s">
        <v>125</v>
      </c>
      <c r="K33" s="19" t="s">
        <v>125</v>
      </c>
      <c r="L33" s="19" t="s">
        <v>125</v>
      </c>
      <c r="M33" s="19" t="s">
        <v>125</v>
      </c>
    </row>
    <row r="34" spans="1:22" x14ac:dyDescent="0.2">
      <c r="A34" s="19" t="s">
        <v>39</v>
      </c>
      <c r="B34" s="19" t="s">
        <v>22</v>
      </c>
      <c r="C34" s="19" t="s">
        <v>113</v>
      </c>
      <c r="D34" s="19" t="s">
        <v>371</v>
      </c>
      <c r="E34" s="19">
        <v>0</v>
      </c>
      <c r="F34" s="31">
        <v>8.3333333333333301E-2</v>
      </c>
      <c r="G34" s="19">
        <v>1</v>
      </c>
      <c r="H34" s="19" t="s">
        <v>125</v>
      </c>
      <c r="I34" s="19" t="s">
        <v>125</v>
      </c>
      <c r="J34" s="19" t="s">
        <v>125</v>
      </c>
      <c r="K34" s="19" t="s">
        <v>125</v>
      </c>
      <c r="L34" s="19" t="s">
        <v>125</v>
      </c>
      <c r="M34" s="19" t="s">
        <v>125</v>
      </c>
    </row>
    <row r="35" spans="1:22" x14ac:dyDescent="0.2">
      <c r="A35" s="19" t="s">
        <v>40</v>
      </c>
      <c r="C35" s="19" t="s">
        <v>114</v>
      </c>
      <c r="D35" s="19" t="s">
        <v>372</v>
      </c>
      <c r="E35" s="19">
        <v>27</v>
      </c>
      <c r="F35" s="19">
        <v>32</v>
      </c>
      <c r="G35" s="19">
        <v>37</v>
      </c>
      <c r="H35" s="19">
        <v>40</v>
      </c>
      <c r="I35" s="19">
        <v>42</v>
      </c>
      <c r="J35" s="19" t="s">
        <v>125</v>
      </c>
      <c r="K35" s="19" t="s">
        <v>125</v>
      </c>
      <c r="L35" s="19" t="s">
        <v>125</v>
      </c>
      <c r="M35" s="19" t="s">
        <v>125</v>
      </c>
    </row>
    <row r="36" spans="1:22" x14ac:dyDescent="0.2">
      <c r="A36" s="19" t="s">
        <v>41</v>
      </c>
      <c r="B36" s="19" t="s">
        <v>22</v>
      </c>
      <c r="C36" s="19" t="s">
        <v>115</v>
      </c>
      <c r="D36" s="19" t="s">
        <v>373</v>
      </c>
      <c r="E36" s="19">
        <v>0</v>
      </c>
      <c r="F36" s="19">
        <v>0.25</v>
      </c>
      <c r="G36" s="19">
        <v>0.5</v>
      </c>
      <c r="H36" s="19">
        <v>0.83333333333333304</v>
      </c>
      <c r="I36" s="19">
        <v>1.5</v>
      </c>
      <c r="J36" s="19" t="s">
        <v>125</v>
      </c>
      <c r="K36" s="19" t="s">
        <v>125</v>
      </c>
      <c r="L36" s="19" t="s">
        <v>125</v>
      </c>
      <c r="M36" s="19" t="s">
        <v>125</v>
      </c>
    </row>
    <row r="37" spans="1:22" x14ac:dyDescent="0.2">
      <c r="A37" s="32" t="s">
        <v>42</v>
      </c>
      <c r="C37" s="19" t="s">
        <v>116</v>
      </c>
      <c r="D37" s="32" t="s">
        <v>388</v>
      </c>
      <c r="E37" s="19">
        <v>0.8</v>
      </c>
      <c r="F37" s="19">
        <v>0.8</v>
      </c>
      <c r="G37" s="19">
        <v>1</v>
      </c>
      <c r="H37" s="19">
        <v>1</v>
      </c>
      <c r="I37" s="19">
        <v>0.6</v>
      </c>
      <c r="J37" s="19">
        <v>0.3</v>
      </c>
      <c r="K37" s="19" t="s">
        <v>125</v>
      </c>
      <c r="L37" s="19" t="s">
        <v>125</v>
      </c>
      <c r="M37" s="19" t="s">
        <v>125</v>
      </c>
    </row>
    <row r="38" spans="1:22" x14ac:dyDescent="0.2">
      <c r="A38" s="32" t="s">
        <v>43</v>
      </c>
      <c r="C38" s="19" t="s">
        <v>117</v>
      </c>
      <c r="D38" s="19" t="s">
        <v>374</v>
      </c>
      <c r="E38" s="19">
        <v>1.5</v>
      </c>
      <c r="F38" s="19">
        <v>3</v>
      </c>
      <c r="G38" s="19">
        <v>5</v>
      </c>
      <c r="H38" s="19">
        <v>8</v>
      </c>
      <c r="I38" s="19">
        <v>15</v>
      </c>
      <c r="J38" s="19">
        <v>20</v>
      </c>
      <c r="K38" s="19" t="s">
        <v>125</v>
      </c>
      <c r="L38" s="19" t="s">
        <v>125</v>
      </c>
      <c r="M38" s="19" t="s">
        <v>125</v>
      </c>
    </row>
    <row r="39" spans="1:22" x14ac:dyDescent="0.2">
      <c r="A39" s="32" t="s">
        <v>126</v>
      </c>
      <c r="C39" s="19" t="s">
        <v>130</v>
      </c>
      <c r="D39" s="19" t="s">
        <v>375</v>
      </c>
      <c r="E39" s="19">
        <v>32.9</v>
      </c>
      <c r="F39" s="19" t="s">
        <v>125</v>
      </c>
      <c r="G39" s="19" t="s">
        <v>125</v>
      </c>
      <c r="H39" s="19" t="s">
        <v>125</v>
      </c>
      <c r="I39" s="19" t="s">
        <v>125</v>
      </c>
      <c r="J39" s="19" t="s">
        <v>125</v>
      </c>
      <c r="K39" s="19" t="s">
        <v>125</v>
      </c>
      <c r="L39" s="19" t="s">
        <v>125</v>
      </c>
      <c r="M39" s="19" t="s">
        <v>125</v>
      </c>
    </row>
    <row r="40" spans="1:22" x14ac:dyDescent="0.2">
      <c r="C40" s="19" t="s">
        <v>118</v>
      </c>
      <c r="D40" s="19" t="s">
        <v>376</v>
      </c>
      <c r="E40" s="19">
        <v>2</v>
      </c>
      <c r="F40" s="19" t="s">
        <v>125</v>
      </c>
      <c r="G40" s="19" t="s">
        <v>125</v>
      </c>
      <c r="H40" s="19" t="s">
        <v>125</v>
      </c>
      <c r="I40" s="19" t="s">
        <v>125</v>
      </c>
      <c r="J40" s="19" t="s">
        <v>125</v>
      </c>
      <c r="K40" s="19" t="s">
        <v>125</v>
      </c>
      <c r="L40" s="19" t="s">
        <v>125</v>
      </c>
      <c r="M40" s="19" t="s">
        <v>125</v>
      </c>
    </row>
    <row r="41" spans="1:22" x14ac:dyDescent="0.2">
      <c r="A41" s="32" t="s">
        <v>136</v>
      </c>
      <c r="B41" s="19" t="s">
        <v>135</v>
      </c>
      <c r="C41" s="19" t="s">
        <v>134</v>
      </c>
      <c r="D41" s="19" t="s">
        <v>275</v>
      </c>
      <c r="E41" s="19">
        <v>1.5</v>
      </c>
      <c r="F41" s="19" t="s">
        <v>125</v>
      </c>
      <c r="G41" s="19" t="s">
        <v>125</v>
      </c>
      <c r="H41" s="19" t="s">
        <v>125</v>
      </c>
      <c r="I41" s="19" t="s">
        <v>125</v>
      </c>
      <c r="J41" s="19" t="s">
        <v>125</v>
      </c>
      <c r="K41" s="19" t="s">
        <v>125</v>
      </c>
      <c r="L41" s="19" t="s">
        <v>125</v>
      </c>
      <c r="M41" s="19" t="s">
        <v>125</v>
      </c>
    </row>
    <row r="42" spans="1:22" x14ac:dyDescent="0.2">
      <c r="A42" s="32" t="s">
        <v>151</v>
      </c>
      <c r="C42" s="19" t="s">
        <v>147</v>
      </c>
      <c r="D42" s="19" t="s">
        <v>377</v>
      </c>
      <c r="E42" s="19">
        <v>1</v>
      </c>
      <c r="F42" s="19">
        <v>1</v>
      </c>
      <c r="G42" s="19">
        <v>1</v>
      </c>
      <c r="H42" s="19">
        <v>1</v>
      </c>
      <c r="I42" s="19">
        <v>1</v>
      </c>
      <c r="J42" s="19" t="s">
        <v>125</v>
      </c>
      <c r="K42" s="19" t="s">
        <v>125</v>
      </c>
      <c r="L42" s="19" t="s">
        <v>125</v>
      </c>
      <c r="M42" s="19" t="s">
        <v>125</v>
      </c>
    </row>
    <row r="45" spans="1:22" x14ac:dyDescent="0.2">
      <c r="O45" s="20"/>
      <c r="P45" s="20"/>
      <c r="Q45" s="20"/>
      <c r="R45" s="20"/>
      <c r="S45" s="20"/>
      <c r="T45" s="20"/>
      <c r="U45" s="20"/>
      <c r="V45" s="20"/>
    </row>
    <row r="46" spans="1:22" x14ac:dyDescent="0.2">
      <c r="B46" s="13"/>
      <c r="O46" s="20"/>
      <c r="P46" s="20"/>
      <c r="Q46" s="20"/>
      <c r="R46" s="20"/>
      <c r="S46" s="20"/>
      <c r="T46" s="20"/>
      <c r="U46" s="20"/>
      <c r="V46" s="20"/>
    </row>
    <row r="47" spans="1:22" x14ac:dyDescent="0.2">
      <c r="B47" s="13"/>
      <c r="O47" s="20"/>
      <c r="P47" s="20"/>
      <c r="Q47" s="20"/>
      <c r="R47" s="20"/>
      <c r="S47" s="20"/>
      <c r="T47" s="20"/>
      <c r="U47" s="20"/>
      <c r="V47" s="20"/>
    </row>
    <row r="48" spans="1:22" x14ac:dyDescent="0.2">
      <c r="B48" s="13"/>
      <c r="O48" s="20"/>
      <c r="P48" s="20"/>
      <c r="Q48" s="20"/>
      <c r="R48" s="20"/>
      <c r="S48" s="20"/>
      <c r="T48" s="20"/>
      <c r="U48" s="20"/>
      <c r="V48" s="20"/>
    </row>
    <row r="49" spans="2:22" x14ac:dyDescent="0.2">
      <c r="B49" s="13"/>
      <c r="O49" s="20"/>
      <c r="P49" s="20"/>
      <c r="Q49" s="20"/>
      <c r="R49" s="20"/>
      <c r="S49" s="20"/>
      <c r="T49" s="20"/>
      <c r="U49" s="20"/>
      <c r="V49" s="20"/>
    </row>
    <row r="50" spans="2:22" x14ac:dyDescent="0.2">
      <c r="B50" s="13"/>
      <c r="O50" s="20"/>
      <c r="P50" s="20"/>
      <c r="Q50" s="20"/>
      <c r="R50" s="20"/>
      <c r="S50" s="20"/>
      <c r="T50" s="20"/>
      <c r="U50" s="20"/>
      <c r="V50" s="20"/>
    </row>
    <row r="51" spans="2:22" x14ac:dyDescent="0.2">
      <c r="B51" s="13"/>
      <c r="O51" s="20"/>
      <c r="P51" s="20"/>
      <c r="Q51" s="20"/>
      <c r="R51" s="20"/>
      <c r="S51" s="20"/>
      <c r="T51" s="20"/>
      <c r="U51" s="20"/>
      <c r="V51" s="20"/>
    </row>
    <row r="52" spans="2:22" x14ac:dyDescent="0.2">
      <c r="B52" s="13"/>
      <c r="O52" s="20"/>
      <c r="P52" s="20"/>
      <c r="Q52" s="20"/>
      <c r="R52" s="20"/>
      <c r="S52" s="20"/>
      <c r="T52" s="20"/>
      <c r="U52" s="20"/>
      <c r="V52" s="20"/>
    </row>
    <row r="53" spans="2:22" x14ac:dyDescent="0.2">
      <c r="B53" s="13"/>
      <c r="O53" s="20"/>
      <c r="P53" s="20"/>
      <c r="Q53" s="20"/>
      <c r="R53" s="20"/>
      <c r="S53" s="20"/>
      <c r="T53" s="20"/>
      <c r="U53" s="20"/>
      <c r="V53" s="20"/>
    </row>
    <row r="54" spans="2:22" x14ac:dyDescent="0.2">
      <c r="B54" s="13"/>
      <c r="O54" s="20"/>
      <c r="P54" s="20"/>
      <c r="Q54" s="20"/>
      <c r="R54" s="20"/>
      <c r="S54" s="20"/>
      <c r="T54" s="20"/>
      <c r="U54" s="20"/>
      <c r="V54" s="20"/>
    </row>
    <row r="55" spans="2:22" x14ac:dyDescent="0.2">
      <c r="B55" s="13"/>
      <c r="O55" s="20"/>
      <c r="P55" s="20"/>
      <c r="Q55" s="20"/>
      <c r="R55" s="20"/>
      <c r="S55" s="20"/>
      <c r="T55" s="20"/>
      <c r="U55" s="20"/>
      <c r="V55" s="20"/>
    </row>
    <row r="56" spans="2:22" x14ac:dyDescent="0.2">
      <c r="B56" s="13"/>
      <c r="O56" s="20"/>
      <c r="P56" s="20"/>
      <c r="Q56" s="20"/>
      <c r="R56" s="20"/>
      <c r="S56" s="20"/>
      <c r="T56" s="20"/>
      <c r="U56" s="20"/>
      <c r="V56" s="20"/>
    </row>
    <row r="57" spans="2:22" x14ac:dyDescent="0.2">
      <c r="B57" s="13"/>
      <c r="O57" s="20"/>
      <c r="P57" s="20"/>
      <c r="Q57" s="20"/>
      <c r="R57" s="20"/>
      <c r="S57" s="20"/>
      <c r="T57" s="20"/>
      <c r="U57" s="20"/>
      <c r="V57" s="20"/>
    </row>
    <row r="58" spans="2:22" x14ac:dyDescent="0.2">
      <c r="B58" s="13"/>
      <c r="F58" s="31"/>
      <c r="O58" s="20"/>
      <c r="P58" s="20"/>
      <c r="Q58" s="20"/>
      <c r="R58" s="20"/>
      <c r="S58" s="20"/>
      <c r="T58" s="20"/>
      <c r="U58" s="20"/>
      <c r="V58" s="20"/>
    </row>
    <row r="59" spans="2:22" x14ac:dyDescent="0.2">
      <c r="O59" s="20"/>
      <c r="P59" s="20"/>
      <c r="Q59" s="20"/>
      <c r="R59" s="20"/>
      <c r="S59" s="20"/>
      <c r="T59" s="20"/>
      <c r="U59" s="20"/>
      <c r="V59" s="20"/>
    </row>
    <row r="60" spans="2:22" x14ac:dyDescent="0.2">
      <c r="O60" s="20"/>
      <c r="P60" s="20"/>
      <c r="Q60" s="20"/>
      <c r="R60" s="20"/>
      <c r="S60" s="20"/>
      <c r="T60" s="20"/>
      <c r="U60" s="20"/>
      <c r="V60" s="20"/>
    </row>
    <row r="61" spans="2:22" x14ac:dyDescent="0.2">
      <c r="O61" s="20"/>
      <c r="P61" s="20"/>
      <c r="Q61" s="20"/>
      <c r="R61" s="20"/>
      <c r="S61" s="20"/>
      <c r="T61" s="20"/>
      <c r="U61" s="20"/>
      <c r="V61" s="20"/>
    </row>
    <row r="62" spans="2:22" x14ac:dyDescent="0.2">
      <c r="O62" s="20"/>
      <c r="P62" s="20"/>
      <c r="Q62" s="20"/>
      <c r="R62" s="20"/>
      <c r="S62" s="20"/>
      <c r="T62" s="20"/>
      <c r="U62" s="20"/>
      <c r="V62" s="20"/>
    </row>
    <row r="63" spans="2:22" x14ac:dyDescent="0.2">
      <c r="B63" s="13"/>
      <c r="O63" s="20"/>
      <c r="P63" s="20"/>
      <c r="Q63" s="20"/>
      <c r="R63" s="20"/>
      <c r="S63" s="20"/>
      <c r="T63" s="20"/>
      <c r="U63" s="20"/>
      <c r="V63" s="20"/>
    </row>
    <row r="64" spans="2:22" x14ac:dyDescent="0.2">
      <c r="B64" s="13"/>
      <c r="O64" s="20"/>
      <c r="P64" s="20"/>
      <c r="Q64" s="20"/>
      <c r="R64" s="20"/>
      <c r="S64" s="20"/>
      <c r="T64" s="20"/>
      <c r="U64" s="20"/>
      <c r="V64" s="20"/>
    </row>
    <row r="65" spans="2:22" x14ac:dyDescent="0.2">
      <c r="B65" s="13"/>
      <c r="O65" s="20"/>
      <c r="P65" s="20"/>
      <c r="Q65" s="20"/>
      <c r="R65" s="20"/>
      <c r="S65" s="20"/>
      <c r="T65" s="20"/>
      <c r="U65" s="20"/>
      <c r="V65" s="20"/>
    </row>
    <row r="66" spans="2:22" x14ac:dyDescent="0.2">
      <c r="B66" s="13"/>
      <c r="O66" s="20"/>
      <c r="P66" s="20"/>
      <c r="Q66" s="20"/>
      <c r="R66" s="20"/>
      <c r="S66" s="20"/>
      <c r="T66" s="20"/>
      <c r="U66" s="20"/>
      <c r="V66" s="20"/>
    </row>
    <row r="67" spans="2:22" x14ac:dyDescent="0.2">
      <c r="B67" s="13"/>
      <c r="O67" s="20"/>
      <c r="P67" s="20"/>
      <c r="Q67" s="20"/>
      <c r="R67" s="20"/>
      <c r="S67" s="20"/>
      <c r="T67" s="20"/>
      <c r="U67" s="20"/>
      <c r="V67" s="20"/>
    </row>
    <row r="68" spans="2:22" x14ac:dyDescent="0.2">
      <c r="B68" s="13"/>
      <c r="O68" s="20"/>
      <c r="P68" s="20"/>
      <c r="Q68" s="20"/>
      <c r="R68" s="20"/>
      <c r="S68" s="20"/>
      <c r="T68" s="20"/>
      <c r="U68" s="20"/>
      <c r="V68" s="20"/>
    </row>
    <row r="69" spans="2:22" x14ac:dyDescent="0.2">
      <c r="B69" s="13"/>
      <c r="O69" s="20"/>
      <c r="P69" s="20"/>
      <c r="Q69" s="20"/>
      <c r="R69" s="20"/>
      <c r="S69" s="20"/>
      <c r="T69" s="20"/>
      <c r="U69" s="20"/>
      <c r="V69" s="20"/>
    </row>
    <row r="70" spans="2:22" x14ac:dyDescent="0.2">
      <c r="B70" s="13"/>
      <c r="O70" s="20"/>
      <c r="P70" s="20"/>
      <c r="Q70" s="20"/>
      <c r="R70" s="20"/>
      <c r="S70" s="20"/>
      <c r="T70" s="20"/>
      <c r="U70" s="20"/>
      <c r="V70" s="20"/>
    </row>
    <row r="71" spans="2:22" x14ac:dyDescent="0.2">
      <c r="B71" s="13"/>
      <c r="O71" s="20"/>
      <c r="P71" s="20"/>
      <c r="Q71" s="20"/>
      <c r="R71" s="20"/>
      <c r="S71" s="20"/>
      <c r="T71" s="20"/>
      <c r="U71" s="20"/>
      <c r="V71" s="20"/>
    </row>
    <row r="72" spans="2:22" x14ac:dyDescent="0.2">
      <c r="B72" s="13"/>
      <c r="O72" s="20"/>
      <c r="P72" s="20"/>
      <c r="Q72" s="20"/>
      <c r="R72" s="20"/>
      <c r="S72" s="20"/>
      <c r="T72" s="20"/>
      <c r="U72" s="20"/>
      <c r="V72" s="20"/>
    </row>
    <row r="73" spans="2:22" x14ac:dyDescent="0.2">
      <c r="B73" s="13"/>
      <c r="O73" s="20"/>
      <c r="P73" s="20"/>
      <c r="Q73" s="20"/>
      <c r="R73" s="20"/>
      <c r="S73" s="20"/>
      <c r="T73" s="20"/>
      <c r="U73" s="20"/>
      <c r="V73" s="20"/>
    </row>
    <row r="74" spans="2:22" x14ac:dyDescent="0.2">
      <c r="B74" s="13"/>
      <c r="O74" s="20"/>
      <c r="P74" s="20"/>
      <c r="Q74" s="20"/>
      <c r="R74" s="20"/>
      <c r="S74" s="20"/>
      <c r="T74" s="20"/>
      <c r="U74" s="20"/>
      <c r="V74" s="20"/>
    </row>
    <row r="75" spans="2:22" x14ac:dyDescent="0.2">
      <c r="B75" s="13"/>
      <c r="O75" s="20"/>
      <c r="P75" s="20"/>
      <c r="Q75" s="20"/>
      <c r="R75" s="20"/>
      <c r="S75" s="20"/>
      <c r="T75" s="20"/>
      <c r="U75" s="20"/>
      <c r="V75" s="20"/>
    </row>
    <row r="76" spans="2:22" x14ac:dyDescent="0.2">
      <c r="B76" s="13"/>
      <c r="O76" s="20"/>
      <c r="P76" s="20"/>
      <c r="Q76" s="20"/>
      <c r="R76" s="20"/>
      <c r="S76" s="20"/>
      <c r="T76" s="20"/>
      <c r="U76" s="20"/>
      <c r="V76" s="20"/>
    </row>
    <row r="77" spans="2:22" x14ac:dyDescent="0.2">
      <c r="B77" s="13"/>
      <c r="F77" s="31"/>
      <c r="O77" s="20"/>
      <c r="P77" s="20"/>
      <c r="Q77" s="20"/>
      <c r="R77" s="20"/>
      <c r="S77" s="20"/>
      <c r="T77" s="20"/>
      <c r="U77" s="20"/>
      <c r="V77" s="20"/>
    </row>
    <row r="78" spans="2:22" x14ac:dyDescent="0.2">
      <c r="B78" s="13"/>
      <c r="O78" s="20"/>
      <c r="P78" s="20"/>
      <c r="Q78" s="20"/>
      <c r="R78" s="20"/>
      <c r="S78" s="20"/>
      <c r="T78" s="20"/>
      <c r="U78" s="20"/>
      <c r="V78" s="20"/>
    </row>
    <row r="79" spans="2:22" x14ac:dyDescent="0.2">
      <c r="B79" s="13"/>
      <c r="O79" s="20"/>
      <c r="P79" s="20"/>
      <c r="Q79" s="20"/>
      <c r="R79" s="20"/>
      <c r="S79" s="20"/>
      <c r="T79" s="20"/>
      <c r="U79" s="20"/>
      <c r="V79" s="20"/>
    </row>
    <row r="80" spans="2:22" x14ac:dyDescent="0.2">
      <c r="B80" s="13"/>
      <c r="O80" s="20"/>
      <c r="P80" s="20"/>
      <c r="Q80" s="20"/>
      <c r="R80" s="20"/>
      <c r="S80" s="20"/>
      <c r="T80" s="20"/>
      <c r="U80" s="20"/>
      <c r="V80" s="20"/>
    </row>
    <row r="81" spans="2:22" x14ac:dyDescent="0.2">
      <c r="B81" s="13"/>
      <c r="O81" s="20"/>
      <c r="P81" s="20"/>
      <c r="Q81" s="20"/>
      <c r="R81" s="20"/>
      <c r="S81" s="20"/>
      <c r="T81" s="20"/>
      <c r="U81" s="20"/>
      <c r="V81" s="20"/>
    </row>
    <row r="82" spans="2:22" x14ac:dyDescent="0.2">
      <c r="B82" s="13"/>
      <c r="O82" s="20"/>
      <c r="P82" s="20"/>
      <c r="Q82" s="20"/>
      <c r="R82" s="20"/>
      <c r="S82" s="20"/>
      <c r="T82" s="20"/>
      <c r="U82" s="20"/>
      <c r="V82" s="20"/>
    </row>
    <row r="83" spans="2:22" x14ac:dyDescent="0.2">
      <c r="B83" s="13"/>
      <c r="O83" s="20"/>
      <c r="P83" s="20"/>
      <c r="Q83" s="20"/>
      <c r="R83" s="20"/>
      <c r="S83" s="20"/>
      <c r="T83" s="20"/>
      <c r="U83" s="20"/>
      <c r="V83" s="20"/>
    </row>
    <row r="84" spans="2:22" x14ac:dyDescent="0.2">
      <c r="B84" s="13"/>
      <c r="O84" s="20"/>
      <c r="P84" s="20"/>
      <c r="Q84" s="20"/>
      <c r="R84" s="20"/>
      <c r="S84" s="20"/>
      <c r="T84" s="20"/>
      <c r="U84" s="20"/>
      <c r="V84" s="20"/>
    </row>
    <row r="85" spans="2:22" x14ac:dyDescent="0.2">
      <c r="B85" s="13"/>
      <c r="O85" s="20"/>
      <c r="P85" s="20"/>
      <c r="Q85" s="20"/>
      <c r="R85" s="20"/>
      <c r="S85" s="20"/>
      <c r="T85" s="20"/>
      <c r="U85" s="20"/>
      <c r="V85" s="20"/>
    </row>
    <row r="86" spans="2:22" x14ac:dyDescent="0.2">
      <c r="O86" s="20"/>
      <c r="P86" s="20"/>
      <c r="Q86" s="20"/>
      <c r="R86" s="20"/>
      <c r="S86" s="20"/>
      <c r="T86" s="20"/>
      <c r="U86" s="20"/>
      <c r="V86" s="20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>
    <tabColor indexed="43"/>
  </sheetPr>
  <dimension ref="A1:M77"/>
  <sheetViews>
    <sheetView zoomScaleNormal="100" workbookViewId="0">
      <selection activeCell="E3" sqref="E3:M42"/>
    </sheetView>
  </sheetViews>
  <sheetFormatPr defaultColWidth="11.42578125" defaultRowHeight="12.75" x14ac:dyDescent="0.2"/>
  <cols>
    <col min="1" max="1" width="28.85546875" style="19" bestFit="1" customWidth="1"/>
    <col min="2" max="2" width="17" style="19" customWidth="1"/>
    <col min="3" max="3" width="19.42578125" style="19" customWidth="1"/>
    <col min="4" max="4" width="12.7109375" style="19" bestFit="1" customWidth="1"/>
    <col min="5" max="11" width="8.7109375" style="19" customWidth="1"/>
    <col min="12" max="13" width="8.7109375" style="21" customWidth="1"/>
    <col min="14" max="16384" width="11.42578125" style="21"/>
  </cols>
  <sheetData>
    <row r="1" spans="1:13" x14ac:dyDescent="0.2">
      <c r="A1" s="14" t="s">
        <v>16</v>
      </c>
      <c r="L1" s="20"/>
    </row>
    <row r="2" spans="1:13" x14ac:dyDescent="0.2">
      <c r="A2" s="14"/>
      <c r="B2" s="14" t="s">
        <v>11</v>
      </c>
      <c r="C2" s="14" t="s">
        <v>12</v>
      </c>
      <c r="D2" s="14"/>
      <c r="E2" s="14" t="s">
        <v>13</v>
      </c>
      <c r="F2" s="32"/>
      <c r="G2" s="32"/>
      <c r="H2" s="32"/>
      <c r="I2" s="32"/>
      <c r="J2" s="32"/>
      <c r="K2" s="32"/>
      <c r="L2" s="32"/>
      <c r="M2" s="32"/>
    </row>
    <row r="3" spans="1:13" x14ac:dyDescent="0.2">
      <c r="A3" s="19" t="s">
        <v>17</v>
      </c>
      <c r="C3" s="19" t="s">
        <v>86</v>
      </c>
      <c r="D3" s="32" t="s">
        <v>387</v>
      </c>
      <c r="E3" s="19">
        <v>0.03</v>
      </c>
      <c r="F3" s="19" t="s">
        <v>125</v>
      </c>
      <c r="G3" s="19" t="s">
        <v>125</v>
      </c>
      <c r="H3" s="19" t="s">
        <v>125</v>
      </c>
      <c r="I3" s="19" t="s">
        <v>125</v>
      </c>
      <c r="J3" s="19" t="s">
        <v>125</v>
      </c>
      <c r="K3" s="19" t="s">
        <v>125</v>
      </c>
      <c r="L3" s="19" t="s">
        <v>125</v>
      </c>
      <c r="M3" s="19" t="s">
        <v>125</v>
      </c>
    </row>
    <row r="4" spans="1:13" x14ac:dyDescent="0.2">
      <c r="A4" s="19" t="s">
        <v>18</v>
      </c>
      <c r="B4" s="19" t="s">
        <v>19</v>
      </c>
      <c r="C4" s="19" t="s">
        <v>87</v>
      </c>
      <c r="D4" s="19" t="s">
        <v>346</v>
      </c>
      <c r="E4" s="19">
        <v>650</v>
      </c>
      <c r="F4" s="19" t="s">
        <v>125</v>
      </c>
      <c r="G4" s="19" t="s">
        <v>125</v>
      </c>
      <c r="H4" s="19" t="s">
        <v>125</v>
      </c>
      <c r="I4" s="19" t="s">
        <v>125</v>
      </c>
      <c r="J4" s="19" t="s">
        <v>125</v>
      </c>
      <c r="K4" s="19" t="s">
        <v>125</v>
      </c>
      <c r="L4" s="19" t="s">
        <v>125</v>
      </c>
      <c r="M4" s="19" t="s">
        <v>125</v>
      </c>
    </row>
    <row r="5" spans="1:13" x14ac:dyDescent="0.2">
      <c r="A5" s="19" t="s">
        <v>20</v>
      </c>
      <c r="B5" s="19" t="s">
        <v>19</v>
      </c>
      <c r="C5" s="19" t="s">
        <v>88</v>
      </c>
      <c r="D5" s="19" t="s">
        <v>347</v>
      </c>
      <c r="E5" s="19">
        <v>600</v>
      </c>
      <c r="F5" s="19" t="s">
        <v>125</v>
      </c>
      <c r="G5" s="19" t="s">
        <v>125</v>
      </c>
      <c r="H5" s="19" t="s">
        <v>125</v>
      </c>
      <c r="I5" s="19" t="s">
        <v>125</v>
      </c>
      <c r="J5" s="19" t="s">
        <v>125</v>
      </c>
      <c r="K5" s="19" t="s">
        <v>125</v>
      </c>
      <c r="L5" s="19" t="s">
        <v>125</v>
      </c>
      <c r="M5" s="19" t="s">
        <v>125</v>
      </c>
    </row>
    <row r="6" spans="1:13" x14ac:dyDescent="0.2">
      <c r="A6" s="19" t="s">
        <v>21</v>
      </c>
      <c r="B6" s="19" t="s">
        <v>19</v>
      </c>
      <c r="C6" s="19" t="s">
        <v>89</v>
      </c>
      <c r="D6" s="19" t="s">
        <v>348</v>
      </c>
      <c r="E6" s="19">
        <v>40</v>
      </c>
      <c r="F6" s="19">
        <v>210</v>
      </c>
      <c r="G6" s="19">
        <v>415</v>
      </c>
      <c r="H6" s="19">
        <v>600</v>
      </c>
      <c r="I6" s="19">
        <v>600</v>
      </c>
      <c r="J6" s="19" t="s">
        <v>125</v>
      </c>
      <c r="K6" s="19" t="s">
        <v>125</v>
      </c>
      <c r="L6" s="19" t="s">
        <v>125</v>
      </c>
      <c r="M6" s="19" t="s">
        <v>125</v>
      </c>
    </row>
    <row r="7" spans="1:13" x14ac:dyDescent="0.2">
      <c r="B7" s="19" t="s">
        <v>22</v>
      </c>
      <c r="C7" s="19" t="s">
        <v>90</v>
      </c>
      <c r="D7" s="19" t="s">
        <v>349</v>
      </c>
      <c r="E7" s="19">
        <v>0</v>
      </c>
      <c r="F7" s="19">
        <v>0.6</v>
      </c>
      <c r="G7" s="19">
        <v>1.7</v>
      </c>
      <c r="H7" s="19">
        <v>3.1</v>
      </c>
      <c r="I7" s="19">
        <v>15</v>
      </c>
      <c r="J7" s="19" t="s">
        <v>125</v>
      </c>
      <c r="K7" s="19" t="s">
        <v>125</v>
      </c>
      <c r="L7" s="19" t="s">
        <v>125</v>
      </c>
      <c r="M7" s="19" t="s">
        <v>125</v>
      </c>
    </row>
    <row r="8" spans="1:13" x14ac:dyDescent="0.2">
      <c r="A8" s="19" t="s">
        <v>23</v>
      </c>
      <c r="B8" s="19" t="s">
        <v>19</v>
      </c>
      <c r="C8" s="19" t="s">
        <v>91</v>
      </c>
      <c r="D8" s="19" t="s">
        <v>350</v>
      </c>
      <c r="E8" s="19">
        <v>30</v>
      </c>
      <c r="F8" s="19">
        <v>155</v>
      </c>
      <c r="G8" s="19">
        <v>380</v>
      </c>
      <c r="H8" s="19">
        <v>650</v>
      </c>
      <c r="I8" s="19">
        <v>650</v>
      </c>
      <c r="J8" s="19" t="s">
        <v>125</v>
      </c>
      <c r="K8" s="19" t="s">
        <v>125</v>
      </c>
      <c r="L8" s="19" t="s">
        <v>125</v>
      </c>
      <c r="M8" s="19" t="s">
        <v>125</v>
      </c>
    </row>
    <row r="9" spans="1:13" x14ac:dyDescent="0.2">
      <c r="B9" s="19" t="s">
        <v>22</v>
      </c>
      <c r="C9" s="19" t="s">
        <v>92</v>
      </c>
      <c r="D9" s="19" t="s">
        <v>351</v>
      </c>
      <c r="E9" s="19">
        <v>0</v>
      </c>
      <c r="F9" s="19">
        <v>0.5</v>
      </c>
      <c r="G9" s="19">
        <v>2</v>
      </c>
      <c r="H9" s="19">
        <v>4.5</v>
      </c>
      <c r="I9" s="19">
        <v>15</v>
      </c>
      <c r="J9" s="19" t="s">
        <v>125</v>
      </c>
      <c r="K9" s="19" t="s">
        <v>125</v>
      </c>
      <c r="L9" s="19" t="s">
        <v>125</v>
      </c>
      <c r="M9" s="19" t="s">
        <v>125</v>
      </c>
    </row>
    <row r="10" spans="1:13" x14ac:dyDescent="0.2">
      <c r="A10" s="19" t="s">
        <v>24</v>
      </c>
      <c r="B10" s="19" t="s">
        <v>19</v>
      </c>
      <c r="C10" s="19" t="s">
        <v>93</v>
      </c>
      <c r="D10" s="19" t="s">
        <v>352</v>
      </c>
      <c r="E10" s="19">
        <v>40</v>
      </c>
      <c r="F10" s="19">
        <v>210</v>
      </c>
      <c r="G10" s="19">
        <v>410</v>
      </c>
      <c r="H10" s="19">
        <v>600</v>
      </c>
      <c r="I10" s="19">
        <v>600</v>
      </c>
      <c r="J10" s="19" t="s">
        <v>125</v>
      </c>
      <c r="K10" s="19" t="s">
        <v>125</v>
      </c>
      <c r="L10" s="19" t="s">
        <v>125</v>
      </c>
      <c r="M10" s="19" t="s">
        <v>125</v>
      </c>
    </row>
    <row r="11" spans="1:13" x14ac:dyDescent="0.2">
      <c r="B11" s="19" t="s">
        <v>22</v>
      </c>
      <c r="C11" s="19" t="s">
        <v>94</v>
      </c>
      <c r="D11" s="19" t="s">
        <v>353</v>
      </c>
      <c r="E11" s="19">
        <v>0</v>
      </c>
      <c r="F11" s="19">
        <v>0.6</v>
      </c>
      <c r="G11" s="19">
        <v>1.7</v>
      </c>
      <c r="H11" s="19">
        <v>3.1</v>
      </c>
      <c r="I11" s="19">
        <v>15</v>
      </c>
      <c r="J11" s="19" t="s">
        <v>125</v>
      </c>
      <c r="K11" s="19" t="s">
        <v>125</v>
      </c>
      <c r="L11" s="19" t="s">
        <v>125</v>
      </c>
      <c r="M11" s="19" t="s">
        <v>125</v>
      </c>
    </row>
    <row r="12" spans="1:13" x14ac:dyDescent="0.2">
      <c r="A12" s="19" t="s">
        <v>25</v>
      </c>
      <c r="B12" s="19" t="s">
        <v>19</v>
      </c>
      <c r="C12" s="19" t="s">
        <v>95</v>
      </c>
      <c r="D12" s="19" t="s">
        <v>354</v>
      </c>
      <c r="E12" s="19">
        <v>30</v>
      </c>
      <c r="F12" s="19">
        <v>87</v>
      </c>
      <c r="G12" s="19">
        <v>138</v>
      </c>
      <c r="H12" s="19">
        <v>218</v>
      </c>
      <c r="I12" s="19">
        <v>254</v>
      </c>
      <c r="J12" s="19">
        <v>260</v>
      </c>
      <c r="K12" s="19" t="s">
        <v>125</v>
      </c>
      <c r="L12" s="19" t="s">
        <v>125</v>
      </c>
      <c r="M12" s="19" t="s">
        <v>125</v>
      </c>
    </row>
    <row r="13" spans="1:13" x14ac:dyDescent="0.2">
      <c r="B13" s="19" t="s">
        <v>22</v>
      </c>
      <c r="C13" s="19" t="s">
        <v>96</v>
      </c>
      <c r="D13" s="19" t="s">
        <v>355</v>
      </c>
      <c r="E13" s="19">
        <v>0</v>
      </c>
      <c r="F13" s="19">
        <v>0.5</v>
      </c>
      <c r="G13" s="19">
        <v>3</v>
      </c>
      <c r="H13" s="19">
        <v>7</v>
      </c>
      <c r="I13" s="19">
        <v>10</v>
      </c>
      <c r="J13" s="19">
        <v>15</v>
      </c>
      <c r="K13" s="19" t="s">
        <v>125</v>
      </c>
      <c r="L13" s="19" t="s">
        <v>125</v>
      </c>
      <c r="M13" s="19" t="s">
        <v>125</v>
      </c>
    </row>
    <row r="14" spans="1:13" x14ac:dyDescent="0.2">
      <c r="A14" s="19" t="s">
        <v>26</v>
      </c>
      <c r="C14" s="19" t="s">
        <v>97</v>
      </c>
      <c r="D14" s="19" t="s">
        <v>356</v>
      </c>
      <c r="E14" s="19">
        <v>256</v>
      </c>
      <c r="F14" s="19">
        <v>256</v>
      </c>
      <c r="G14" s="19">
        <v>0</v>
      </c>
      <c r="H14" s="19">
        <v>0</v>
      </c>
      <c r="I14" s="19" t="s">
        <v>125</v>
      </c>
      <c r="J14" s="19" t="s">
        <v>125</v>
      </c>
      <c r="K14" s="19" t="s">
        <v>125</v>
      </c>
      <c r="L14" s="19" t="s">
        <v>125</v>
      </c>
      <c r="M14" s="19" t="s">
        <v>125</v>
      </c>
    </row>
    <row r="15" spans="1:13" x14ac:dyDescent="0.2">
      <c r="A15" s="19" t="s">
        <v>27</v>
      </c>
      <c r="B15" s="19" t="s">
        <v>22</v>
      </c>
      <c r="C15" s="19" t="s">
        <v>98</v>
      </c>
      <c r="D15" s="19" t="s">
        <v>357</v>
      </c>
      <c r="E15" s="19">
        <v>0</v>
      </c>
      <c r="F15" s="31">
        <v>8.3333333333333301E-2</v>
      </c>
      <c r="G15" s="19">
        <v>0.83333333333333304</v>
      </c>
      <c r="H15" s="19">
        <v>1.5</v>
      </c>
      <c r="I15" s="19" t="s">
        <v>125</v>
      </c>
      <c r="J15" s="19" t="s">
        <v>125</v>
      </c>
      <c r="K15" s="19" t="s">
        <v>125</v>
      </c>
      <c r="L15" s="19" t="s">
        <v>125</v>
      </c>
      <c r="M15" s="19" t="s">
        <v>125</v>
      </c>
    </row>
    <row r="16" spans="1:13" x14ac:dyDescent="0.2">
      <c r="C16" s="19" t="s">
        <v>119</v>
      </c>
      <c r="D16" s="19" t="s">
        <v>358</v>
      </c>
      <c r="E16" s="19">
        <v>0.2</v>
      </c>
      <c r="F16" s="19">
        <v>0.3</v>
      </c>
      <c r="G16" s="19">
        <v>0.4</v>
      </c>
      <c r="H16" s="19">
        <v>0.5</v>
      </c>
      <c r="I16" s="19">
        <v>0.6</v>
      </c>
      <c r="J16" s="19">
        <v>0.7</v>
      </c>
      <c r="K16" s="19">
        <v>0.8</v>
      </c>
      <c r="L16" s="19" t="s">
        <v>125</v>
      </c>
      <c r="M16" s="19" t="s">
        <v>125</v>
      </c>
    </row>
    <row r="17" spans="1:13" x14ac:dyDescent="0.2">
      <c r="A17" s="32" t="s">
        <v>123</v>
      </c>
      <c r="B17" s="19" t="s">
        <v>19</v>
      </c>
      <c r="C17" s="19" t="s">
        <v>120</v>
      </c>
      <c r="D17" s="19" t="s">
        <v>359</v>
      </c>
      <c r="E17" s="19">
        <v>120</v>
      </c>
      <c r="F17" s="19">
        <v>182.5</v>
      </c>
      <c r="G17" s="19">
        <v>182.5</v>
      </c>
      <c r="H17" s="19">
        <v>365</v>
      </c>
      <c r="I17" s="19">
        <v>547.5</v>
      </c>
      <c r="J17" s="19">
        <v>730</v>
      </c>
      <c r="K17" s="19">
        <v>730</v>
      </c>
      <c r="L17" s="19" t="s">
        <v>125</v>
      </c>
      <c r="M17" s="19" t="s">
        <v>125</v>
      </c>
    </row>
    <row r="18" spans="1:13" x14ac:dyDescent="0.2">
      <c r="C18" s="19" t="s">
        <v>121</v>
      </c>
      <c r="D18" s="19" t="s">
        <v>360</v>
      </c>
      <c r="E18" s="19">
        <v>0.2</v>
      </c>
      <c r="F18" s="19">
        <v>0.3</v>
      </c>
      <c r="G18" s="19">
        <v>0.4</v>
      </c>
      <c r="H18" s="19">
        <v>0.5</v>
      </c>
      <c r="I18" s="19">
        <v>0.6</v>
      </c>
      <c r="J18" s="19">
        <v>0.7</v>
      </c>
      <c r="K18" s="19">
        <v>0.8</v>
      </c>
      <c r="L18" s="19" t="s">
        <v>125</v>
      </c>
      <c r="M18" s="19" t="s">
        <v>125</v>
      </c>
    </row>
    <row r="19" spans="1:13" x14ac:dyDescent="0.2">
      <c r="A19" s="19" t="s">
        <v>124</v>
      </c>
      <c r="B19" s="19" t="s">
        <v>19</v>
      </c>
      <c r="C19" s="19" t="s">
        <v>122</v>
      </c>
      <c r="D19" s="19" t="s">
        <v>361</v>
      </c>
      <c r="E19" s="19">
        <v>182.5</v>
      </c>
      <c r="F19" s="19">
        <v>182.5</v>
      </c>
      <c r="G19" s="19">
        <v>365</v>
      </c>
      <c r="H19" s="19">
        <v>547.5</v>
      </c>
      <c r="I19" s="19">
        <v>730</v>
      </c>
      <c r="J19" s="19">
        <v>912.5</v>
      </c>
      <c r="K19" s="19">
        <v>912.5</v>
      </c>
      <c r="L19" s="19" t="s">
        <v>125</v>
      </c>
      <c r="M19" s="19" t="s">
        <v>125</v>
      </c>
    </row>
    <row r="20" spans="1:13" x14ac:dyDescent="0.2">
      <c r="A20" s="19" t="s">
        <v>28</v>
      </c>
      <c r="B20" s="19" t="s">
        <v>15</v>
      </c>
      <c r="C20" s="19" t="s">
        <v>99</v>
      </c>
      <c r="D20" s="19" t="s">
        <v>362</v>
      </c>
      <c r="E20" s="19">
        <v>282</v>
      </c>
      <c r="F20" s="19" t="s">
        <v>125</v>
      </c>
      <c r="G20" s="19" t="s">
        <v>125</v>
      </c>
      <c r="H20" s="19" t="s">
        <v>125</v>
      </c>
      <c r="I20" s="19" t="s">
        <v>125</v>
      </c>
      <c r="J20" s="19" t="s">
        <v>125</v>
      </c>
      <c r="K20" s="19" t="s">
        <v>125</v>
      </c>
      <c r="L20" s="19" t="s">
        <v>125</v>
      </c>
      <c r="M20" s="19" t="s">
        <v>125</v>
      </c>
    </row>
    <row r="21" spans="1:13" x14ac:dyDescent="0.2">
      <c r="A21" s="19" t="s">
        <v>29</v>
      </c>
      <c r="C21" s="19" t="s">
        <v>100</v>
      </c>
      <c r="D21" s="19" t="s">
        <v>29</v>
      </c>
      <c r="E21" s="19">
        <v>0</v>
      </c>
      <c r="F21" s="19" t="s">
        <v>125</v>
      </c>
      <c r="G21" s="19" t="s">
        <v>125</v>
      </c>
      <c r="H21" s="19" t="s">
        <v>125</v>
      </c>
      <c r="I21" s="19" t="s">
        <v>125</v>
      </c>
      <c r="J21" s="19" t="s">
        <v>125</v>
      </c>
      <c r="K21" s="19" t="s">
        <v>125</v>
      </c>
      <c r="L21" s="19" t="s">
        <v>125</v>
      </c>
      <c r="M21" s="19" t="s">
        <v>125</v>
      </c>
    </row>
    <row r="22" spans="1:13" x14ac:dyDescent="0.2">
      <c r="A22" s="19" t="s">
        <v>30</v>
      </c>
      <c r="C22" s="19" t="s">
        <v>101</v>
      </c>
      <c r="D22" s="19" t="s">
        <v>363</v>
      </c>
      <c r="E22" s="19">
        <v>0.75</v>
      </c>
      <c r="F22" s="19">
        <v>1</v>
      </c>
      <c r="G22" s="19">
        <v>1</v>
      </c>
      <c r="H22" s="19">
        <v>0.625</v>
      </c>
      <c r="I22" s="19" t="s">
        <v>125</v>
      </c>
      <c r="J22" s="19" t="s">
        <v>125</v>
      </c>
      <c r="K22" s="19" t="s">
        <v>125</v>
      </c>
      <c r="L22" s="19" t="s">
        <v>125</v>
      </c>
      <c r="M22" s="19" t="s">
        <v>125</v>
      </c>
    </row>
    <row r="23" spans="1:13" x14ac:dyDescent="0.2">
      <c r="A23" s="19" t="s">
        <v>31</v>
      </c>
      <c r="C23" s="19" t="s">
        <v>102</v>
      </c>
      <c r="D23" s="19" t="s">
        <v>364</v>
      </c>
      <c r="E23" s="19">
        <v>1.5</v>
      </c>
      <c r="F23" s="19">
        <v>3.5</v>
      </c>
      <c r="G23" s="19">
        <v>8</v>
      </c>
      <c r="H23" s="19">
        <v>15</v>
      </c>
      <c r="I23" s="19" t="s">
        <v>125</v>
      </c>
      <c r="J23" s="19" t="s">
        <v>125</v>
      </c>
      <c r="K23" s="19" t="s">
        <v>125</v>
      </c>
      <c r="L23" s="19" t="s">
        <v>125</v>
      </c>
      <c r="M23" s="19" t="s">
        <v>125</v>
      </c>
    </row>
    <row r="24" spans="1:13" x14ac:dyDescent="0.2">
      <c r="A24" s="19" t="s">
        <v>32</v>
      </c>
      <c r="C24" s="19" t="s">
        <v>103</v>
      </c>
      <c r="D24" s="19" t="s">
        <v>365</v>
      </c>
      <c r="E24" s="19">
        <v>340</v>
      </c>
      <c r="F24" s="19">
        <v>240</v>
      </c>
      <c r="G24" s="19">
        <v>155</v>
      </c>
      <c r="H24" s="19">
        <v>218</v>
      </c>
      <c r="I24" s="19">
        <v>254</v>
      </c>
      <c r="J24" s="19">
        <v>260</v>
      </c>
      <c r="K24" s="19">
        <v>260</v>
      </c>
      <c r="L24" s="19" t="s">
        <v>125</v>
      </c>
      <c r="M24" s="19" t="s">
        <v>125</v>
      </c>
    </row>
    <row r="25" spans="1:13" x14ac:dyDescent="0.2">
      <c r="B25" s="19" t="s">
        <v>22</v>
      </c>
      <c r="C25" s="19" t="s">
        <v>104</v>
      </c>
      <c r="D25" s="19" t="s">
        <v>140</v>
      </c>
      <c r="E25" s="19">
        <v>1.5</v>
      </c>
      <c r="F25" s="19">
        <v>2.1666666666666701</v>
      </c>
      <c r="G25" s="19">
        <v>4</v>
      </c>
      <c r="H25" s="19">
        <v>7</v>
      </c>
      <c r="I25" s="19">
        <v>10</v>
      </c>
      <c r="J25" s="19">
        <v>12</v>
      </c>
      <c r="K25" s="19">
        <v>15</v>
      </c>
      <c r="L25" s="19" t="s">
        <v>125</v>
      </c>
      <c r="M25" s="19" t="s">
        <v>125</v>
      </c>
    </row>
    <row r="26" spans="1:13" x14ac:dyDescent="0.2">
      <c r="A26" s="19" t="s">
        <v>33</v>
      </c>
      <c r="C26" s="19" t="s">
        <v>105</v>
      </c>
      <c r="D26" s="19" t="s">
        <v>366</v>
      </c>
      <c r="E26" s="19">
        <v>0</v>
      </c>
      <c r="F26" s="19">
        <v>0</v>
      </c>
      <c r="G26" s="19">
        <v>0</v>
      </c>
      <c r="H26" s="19">
        <v>0</v>
      </c>
      <c r="I26" s="19" t="s">
        <v>125</v>
      </c>
      <c r="J26" s="19" t="s">
        <v>125</v>
      </c>
      <c r="K26" s="19" t="s">
        <v>125</v>
      </c>
      <c r="L26" s="19" t="s">
        <v>125</v>
      </c>
      <c r="M26" s="19" t="s">
        <v>125</v>
      </c>
    </row>
    <row r="27" spans="1:13" x14ac:dyDescent="0.2">
      <c r="A27" s="19" t="s">
        <v>34</v>
      </c>
      <c r="C27" s="19" t="s">
        <v>106</v>
      </c>
      <c r="D27" s="19" t="s">
        <v>367</v>
      </c>
      <c r="E27" s="19">
        <v>0</v>
      </c>
      <c r="F27" s="19">
        <v>0</v>
      </c>
      <c r="G27" s="19">
        <v>0</v>
      </c>
      <c r="H27" s="19">
        <v>0</v>
      </c>
      <c r="I27" s="19" t="s">
        <v>125</v>
      </c>
      <c r="J27" s="19" t="s">
        <v>125</v>
      </c>
      <c r="K27" s="19" t="s">
        <v>125</v>
      </c>
      <c r="L27" s="19" t="s">
        <v>125</v>
      </c>
      <c r="M27" s="19" t="s">
        <v>125</v>
      </c>
    </row>
    <row r="28" spans="1:13" x14ac:dyDescent="0.2">
      <c r="A28" s="19" t="s">
        <v>35</v>
      </c>
      <c r="B28" s="19" t="s">
        <v>22</v>
      </c>
      <c r="C28" s="19" t="s">
        <v>107</v>
      </c>
      <c r="D28" s="19" t="s">
        <v>385</v>
      </c>
      <c r="E28" s="19">
        <v>0</v>
      </c>
      <c r="F28" s="19">
        <v>0.25</v>
      </c>
      <c r="G28" s="19">
        <v>6</v>
      </c>
      <c r="H28" s="19">
        <v>15</v>
      </c>
      <c r="I28" s="19" t="s">
        <v>125</v>
      </c>
      <c r="J28" s="19" t="s">
        <v>125</v>
      </c>
      <c r="K28" s="19" t="s">
        <v>125</v>
      </c>
      <c r="L28" s="19" t="s">
        <v>125</v>
      </c>
      <c r="M28" s="19" t="s">
        <v>125</v>
      </c>
    </row>
    <row r="29" spans="1:13" x14ac:dyDescent="0.2">
      <c r="A29" s="19" t="s">
        <v>36</v>
      </c>
      <c r="C29" s="19" t="s">
        <v>108</v>
      </c>
      <c r="D29" s="19" t="s">
        <v>368</v>
      </c>
      <c r="E29" s="19">
        <v>10</v>
      </c>
      <c r="F29" s="19" t="s">
        <v>125</v>
      </c>
      <c r="G29" s="19" t="s">
        <v>125</v>
      </c>
      <c r="H29" s="19" t="s">
        <v>125</v>
      </c>
      <c r="I29" s="19" t="s">
        <v>125</v>
      </c>
      <c r="J29" s="19" t="s">
        <v>125</v>
      </c>
      <c r="K29" s="19" t="s">
        <v>125</v>
      </c>
      <c r="L29" s="19" t="s">
        <v>125</v>
      </c>
      <c r="M29" s="19" t="s">
        <v>125</v>
      </c>
    </row>
    <row r="30" spans="1:13" x14ac:dyDescent="0.2">
      <c r="C30" s="19" t="s">
        <v>109</v>
      </c>
      <c r="D30" s="19" t="s">
        <v>248</v>
      </c>
      <c r="E30" s="19">
        <v>130</v>
      </c>
      <c r="F30" s="19" t="s">
        <v>125</v>
      </c>
      <c r="G30" s="19" t="s">
        <v>125</v>
      </c>
      <c r="H30" s="19" t="s">
        <v>125</v>
      </c>
      <c r="I30" s="19" t="s">
        <v>125</v>
      </c>
      <c r="J30" s="19" t="s">
        <v>125</v>
      </c>
      <c r="K30" s="19" t="s">
        <v>125</v>
      </c>
      <c r="L30" s="19" t="s">
        <v>125</v>
      </c>
      <c r="M30" s="19" t="s">
        <v>125</v>
      </c>
    </row>
    <row r="31" spans="1:13" x14ac:dyDescent="0.2">
      <c r="C31" s="19" t="s">
        <v>110</v>
      </c>
      <c r="D31" s="19" t="s">
        <v>246</v>
      </c>
      <c r="E31" s="19">
        <v>19.600000000000001</v>
      </c>
      <c r="F31" s="19" t="s">
        <v>125</v>
      </c>
      <c r="G31" s="19" t="s">
        <v>125</v>
      </c>
      <c r="H31" s="19" t="s">
        <v>125</v>
      </c>
      <c r="I31" s="19" t="s">
        <v>125</v>
      </c>
      <c r="J31" s="19" t="s">
        <v>125</v>
      </c>
      <c r="K31" s="19" t="s">
        <v>125</v>
      </c>
      <c r="L31" s="19" t="s">
        <v>125</v>
      </c>
      <c r="M31" s="19" t="s">
        <v>125</v>
      </c>
    </row>
    <row r="32" spans="1:13" x14ac:dyDescent="0.2">
      <c r="A32" s="19" t="s">
        <v>4</v>
      </c>
      <c r="C32" s="19" t="s">
        <v>111</v>
      </c>
      <c r="D32" s="19" t="s">
        <v>369</v>
      </c>
      <c r="E32" s="19">
        <v>3.2</v>
      </c>
      <c r="F32" s="19" t="s">
        <v>125</v>
      </c>
      <c r="G32" s="19" t="s">
        <v>125</v>
      </c>
      <c r="H32" s="19" t="s">
        <v>125</v>
      </c>
      <c r="I32" s="19" t="s">
        <v>125</v>
      </c>
      <c r="J32" s="19" t="s">
        <v>125</v>
      </c>
      <c r="K32" s="19" t="s">
        <v>125</v>
      </c>
      <c r="L32" s="19" t="s">
        <v>125</v>
      </c>
      <c r="M32" s="19" t="s">
        <v>125</v>
      </c>
    </row>
    <row r="33" spans="1:13" x14ac:dyDescent="0.2">
      <c r="A33" s="19" t="s">
        <v>37</v>
      </c>
      <c r="B33" s="19" t="s">
        <v>38</v>
      </c>
      <c r="C33" s="19" t="s">
        <v>112</v>
      </c>
      <c r="D33" s="19" t="s">
        <v>370</v>
      </c>
      <c r="E33" s="19">
        <v>7300</v>
      </c>
      <c r="F33" s="19">
        <v>7300</v>
      </c>
      <c r="G33" s="19">
        <v>0</v>
      </c>
      <c r="H33" s="19" t="s">
        <v>125</v>
      </c>
      <c r="I33" s="19" t="s">
        <v>125</v>
      </c>
      <c r="J33" s="19" t="s">
        <v>125</v>
      </c>
      <c r="K33" s="19" t="s">
        <v>125</v>
      </c>
      <c r="L33" s="19" t="s">
        <v>125</v>
      </c>
      <c r="M33" s="19" t="s">
        <v>125</v>
      </c>
    </row>
    <row r="34" spans="1:13" x14ac:dyDescent="0.2">
      <c r="A34" s="19" t="s">
        <v>39</v>
      </c>
      <c r="B34" s="19" t="s">
        <v>22</v>
      </c>
      <c r="C34" s="19" t="s">
        <v>113</v>
      </c>
      <c r="D34" s="19" t="s">
        <v>371</v>
      </c>
      <c r="E34" s="19">
        <v>0</v>
      </c>
      <c r="F34" s="31">
        <v>8.3333333333333301E-2</v>
      </c>
      <c r="G34" s="19">
        <v>1</v>
      </c>
      <c r="H34" s="19" t="s">
        <v>125</v>
      </c>
      <c r="I34" s="19" t="s">
        <v>125</v>
      </c>
      <c r="J34" s="19" t="s">
        <v>125</v>
      </c>
      <c r="K34" s="19" t="s">
        <v>125</v>
      </c>
      <c r="L34" s="19" t="s">
        <v>125</v>
      </c>
      <c r="M34" s="19" t="s">
        <v>125</v>
      </c>
    </row>
    <row r="35" spans="1:13" x14ac:dyDescent="0.2">
      <c r="A35" s="19" t="s">
        <v>40</v>
      </c>
      <c r="C35" s="19" t="s">
        <v>114</v>
      </c>
      <c r="D35" s="19" t="s">
        <v>372</v>
      </c>
      <c r="E35" s="19">
        <v>27</v>
      </c>
      <c r="F35" s="19">
        <v>32</v>
      </c>
      <c r="G35" s="19">
        <v>37</v>
      </c>
      <c r="H35" s="19">
        <v>40</v>
      </c>
      <c r="I35" s="19">
        <v>42</v>
      </c>
      <c r="J35" s="19" t="s">
        <v>125</v>
      </c>
      <c r="K35" s="19" t="s">
        <v>125</v>
      </c>
      <c r="L35" s="19" t="s">
        <v>125</v>
      </c>
      <c r="M35" s="19" t="s">
        <v>125</v>
      </c>
    </row>
    <row r="36" spans="1:13" x14ac:dyDescent="0.2">
      <c r="A36" s="19" t="s">
        <v>41</v>
      </c>
      <c r="B36" s="19" t="s">
        <v>22</v>
      </c>
      <c r="C36" s="19" t="s">
        <v>115</v>
      </c>
      <c r="D36" s="19" t="s">
        <v>373</v>
      </c>
      <c r="E36" s="19">
        <v>0</v>
      </c>
      <c r="F36" s="19">
        <v>0.25</v>
      </c>
      <c r="G36" s="19">
        <v>0.5</v>
      </c>
      <c r="H36" s="19">
        <v>0.83333333333333304</v>
      </c>
      <c r="I36" s="19">
        <v>1.5</v>
      </c>
      <c r="J36" s="19" t="s">
        <v>125</v>
      </c>
      <c r="K36" s="19" t="s">
        <v>125</v>
      </c>
      <c r="L36" s="19" t="s">
        <v>125</v>
      </c>
      <c r="M36" s="19" t="s">
        <v>125</v>
      </c>
    </row>
    <row r="37" spans="1:13" x14ac:dyDescent="0.2">
      <c r="A37" s="32" t="s">
        <v>42</v>
      </c>
      <c r="C37" s="19" t="s">
        <v>116</v>
      </c>
      <c r="D37" s="32" t="s">
        <v>388</v>
      </c>
      <c r="E37" s="19">
        <v>0.8</v>
      </c>
      <c r="F37" s="19">
        <v>0.8</v>
      </c>
      <c r="G37" s="19">
        <v>1</v>
      </c>
      <c r="H37" s="19">
        <v>1</v>
      </c>
      <c r="I37" s="19">
        <v>1.6</v>
      </c>
      <c r="J37" s="19" t="s">
        <v>125</v>
      </c>
      <c r="K37" s="19" t="s">
        <v>125</v>
      </c>
      <c r="L37" s="19" t="s">
        <v>125</v>
      </c>
      <c r="M37" s="19" t="s">
        <v>125</v>
      </c>
    </row>
    <row r="38" spans="1:13" x14ac:dyDescent="0.2">
      <c r="A38" s="32" t="s">
        <v>43</v>
      </c>
      <c r="C38" s="19" t="s">
        <v>117</v>
      </c>
      <c r="D38" s="19" t="s">
        <v>374</v>
      </c>
      <c r="E38" s="19">
        <v>2</v>
      </c>
      <c r="F38" s="19">
        <v>3</v>
      </c>
      <c r="G38" s="19">
        <v>5</v>
      </c>
      <c r="H38" s="19">
        <v>8</v>
      </c>
      <c r="I38" s="19">
        <v>15</v>
      </c>
      <c r="J38" s="19" t="s">
        <v>125</v>
      </c>
      <c r="K38" s="19" t="s">
        <v>125</v>
      </c>
      <c r="L38" s="19" t="s">
        <v>125</v>
      </c>
      <c r="M38" s="19" t="s">
        <v>125</v>
      </c>
    </row>
    <row r="39" spans="1:13" x14ac:dyDescent="0.2">
      <c r="A39" s="32" t="s">
        <v>126</v>
      </c>
      <c r="C39" s="19" t="s">
        <v>130</v>
      </c>
      <c r="D39" s="19" t="s">
        <v>375</v>
      </c>
      <c r="E39" s="19">
        <v>30</v>
      </c>
      <c r="F39" s="19" t="s">
        <v>125</v>
      </c>
      <c r="G39" s="19" t="s">
        <v>125</v>
      </c>
      <c r="H39" s="19" t="s">
        <v>125</v>
      </c>
      <c r="I39" s="19" t="s">
        <v>125</v>
      </c>
      <c r="J39" s="19" t="s">
        <v>125</v>
      </c>
      <c r="K39" s="19" t="s">
        <v>125</v>
      </c>
      <c r="L39" s="19" t="s">
        <v>125</v>
      </c>
      <c r="M39" s="19" t="s">
        <v>125</v>
      </c>
    </row>
    <row r="40" spans="1:13" x14ac:dyDescent="0.2">
      <c r="C40" s="19" t="s">
        <v>118</v>
      </c>
      <c r="D40" s="19" t="s">
        <v>376</v>
      </c>
      <c r="E40" s="19">
        <v>3</v>
      </c>
      <c r="F40" s="19" t="s">
        <v>125</v>
      </c>
      <c r="G40" s="19" t="s">
        <v>125</v>
      </c>
      <c r="H40" s="19" t="s">
        <v>125</v>
      </c>
      <c r="I40" s="19" t="s">
        <v>125</v>
      </c>
      <c r="J40" s="19" t="s">
        <v>125</v>
      </c>
      <c r="K40" s="19" t="s">
        <v>125</v>
      </c>
      <c r="L40" s="19" t="s">
        <v>125</v>
      </c>
      <c r="M40" s="19" t="s">
        <v>125</v>
      </c>
    </row>
    <row r="41" spans="1:13" x14ac:dyDescent="0.2">
      <c r="A41" s="32" t="s">
        <v>136</v>
      </c>
      <c r="B41" s="19" t="s">
        <v>135</v>
      </c>
      <c r="C41" s="19" t="s">
        <v>134</v>
      </c>
      <c r="D41" s="19" t="s">
        <v>275</v>
      </c>
      <c r="E41" s="19">
        <v>1.5</v>
      </c>
      <c r="F41" s="19" t="s">
        <v>125</v>
      </c>
      <c r="G41" s="19" t="s">
        <v>125</v>
      </c>
      <c r="H41" s="19" t="s">
        <v>125</v>
      </c>
      <c r="I41" s="19" t="s">
        <v>125</v>
      </c>
      <c r="J41" s="19" t="s">
        <v>125</v>
      </c>
      <c r="K41" s="19" t="s">
        <v>125</v>
      </c>
      <c r="L41" s="19" t="s">
        <v>125</v>
      </c>
      <c r="M41" s="19" t="s">
        <v>125</v>
      </c>
    </row>
    <row r="42" spans="1:13" x14ac:dyDescent="0.2">
      <c r="A42" s="32" t="s">
        <v>151</v>
      </c>
      <c r="C42" s="19" t="s">
        <v>147</v>
      </c>
      <c r="D42" s="19" t="s">
        <v>377</v>
      </c>
      <c r="E42" s="19">
        <v>1</v>
      </c>
      <c r="F42" s="19">
        <v>1</v>
      </c>
      <c r="G42" s="19">
        <v>1</v>
      </c>
      <c r="H42" s="19">
        <v>1</v>
      </c>
      <c r="I42" s="19">
        <v>1</v>
      </c>
      <c r="J42" s="19" t="s">
        <v>125</v>
      </c>
      <c r="K42" s="19" t="s">
        <v>125</v>
      </c>
      <c r="L42" s="19" t="s">
        <v>125</v>
      </c>
      <c r="M42" s="19" t="s">
        <v>125</v>
      </c>
    </row>
    <row r="58" spans="6:6" x14ac:dyDescent="0.2">
      <c r="F58" s="31"/>
    </row>
    <row r="77" spans="6:6" x14ac:dyDescent="0.2">
      <c r="F77" s="31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enableFormatConditionsCalculation="0">
    <tabColor indexed="43"/>
  </sheetPr>
  <dimension ref="A1:N43"/>
  <sheetViews>
    <sheetView workbookViewId="0">
      <selection activeCell="E3" sqref="E3:M42"/>
    </sheetView>
  </sheetViews>
  <sheetFormatPr defaultColWidth="11.42578125" defaultRowHeight="12.75" x14ac:dyDescent="0.2"/>
  <cols>
    <col min="1" max="1" width="28.85546875" style="19" bestFit="1" customWidth="1"/>
    <col min="2" max="2" width="17" style="19" customWidth="1"/>
    <col min="3" max="3" width="19.42578125" style="19" customWidth="1"/>
    <col min="4" max="4" width="12.7109375" style="19" bestFit="1" customWidth="1"/>
    <col min="5" max="13" width="8.7109375" style="19" customWidth="1"/>
    <col min="14" max="14" width="11.42578125" style="19"/>
    <col min="15" max="16384" width="11.42578125" style="21"/>
  </cols>
  <sheetData>
    <row r="1" spans="1:14" x14ac:dyDescent="0.2">
      <c r="A1" s="14" t="s">
        <v>155</v>
      </c>
    </row>
    <row r="2" spans="1:14" x14ac:dyDescent="0.2">
      <c r="A2" s="14"/>
      <c r="B2" s="14" t="s">
        <v>11</v>
      </c>
      <c r="C2" s="14" t="s">
        <v>12</v>
      </c>
      <c r="D2" s="14"/>
      <c r="E2" s="14" t="s">
        <v>13</v>
      </c>
      <c r="F2" s="32"/>
      <c r="G2" s="32"/>
      <c r="H2" s="32"/>
      <c r="I2" s="32"/>
      <c r="J2" s="32"/>
      <c r="K2" s="32"/>
      <c r="L2" s="32"/>
      <c r="M2" s="32"/>
    </row>
    <row r="3" spans="1:14" x14ac:dyDescent="0.2">
      <c r="A3" s="19" t="s">
        <v>17</v>
      </c>
      <c r="C3" s="19" t="s">
        <v>86</v>
      </c>
      <c r="D3" s="32" t="s">
        <v>387</v>
      </c>
      <c r="E3" s="19">
        <v>0.03</v>
      </c>
      <c r="F3" s="19" t="s">
        <v>125</v>
      </c>
      <c r="G3" s="19" t="s">
        <v>125</v>
      </c>
      <c r="H3" s="19" t="s">
        <v>125</v>
      </c>
      <c r="I3" s="19" t="s">
        <v>125</v>
      </c>
      <c r="J3" s="19" t="s">
        <v>125</v>
      </c>
      <c r="K3" s="19" t="s">
        <v>125</v>
      </c>
      <c r="L3" s="19" t="s">
        <v>125</v>
      </c>
      <c r="M3" s="19" t="s">
        <v>125</v>
      </c>
    </row>
    <row r="4" spans="1:14" x14ac:dyDescent="0.2">
      <c r="A4" s="19" t="s">
        <v>18</v>
      </c>
      <c r="B4" s="19" t="s">
        <v>19</v>
      </c>
      <c r="C4" s="19" t="s">
        <v>87</v>
      </c>
      <c r="D4" s="19" t="s">
        <v>346</v>
      </c>
      <c r="E4" s="19">
        <v>400</v>
      </c>
      <c r="F4" s="19" t="s">
        <v>125</v>
      </c>
      <c r="G4" s="19" t="s">
        <v>125</v>
      </c>
      <c r="H4" s="19" t="s">
        <v>125</v>
      </c>
      <c r="I4" s="19" t="s">
        <v>125</v>
      </c>
      <c r="J4" s="19" t="s">
        <v>125</v>
      </c>
      <c r="K4" s="19" t="s">
        <v>125</v>
      </c>
      <c r="L4" s="19" t="s">
        <v>125</v>
      </c>
      <c r="M4" s="19" t="s">
        <v>125</v>
      </c>
    </row>
    <row r="5" spans="1:14" x14ac:dyDescent="0.2">
      <c r="A5" s="19" t="s">
        <v>20</v>
      </c>
      <c r="B5" s="19" t="s">
        <v>19</v>
      </c>
      <c r="C5" s="19" t="s">
        <v>88</v>
      </c>
      <c r="D5" s="19" t="s">
        <v>347</v>
      </c>
      <c r="E5" s="19">
        <v>300</v>
      </c>
      <c r="F5" s="19" t="s">
        <v>125</v>
      </c>
      <c r="G5" s="19" t="s">
        <v>125</v>
      </c>
      <c r="H5" s="19" t="s">
        <v>125</v>
      </c>
      <c r="I5" s="19" t="s">
        <v>125</v>
      </c>
      <c r="J5" s="19" t="s">
        <v>125</v>
      </c>
      <c r="K5" s="19" t="s">
        <v>125</v>
      </c>
      <c r="L5" s="19" t="s">
        <v>125</v>
      </c>
      <c r="M5" s="19" t="s">
        <v>125</v>
      </c>
    </row>
    <row r="6" spans="1:14" x14ac:dyDescent="0.2">
      <c r="A6" s="19" t="s">
        <v>21</v>
      </c>
      <c r="B6" s="19" t="s">
        <v>19</v>
      </c>
      <c r="C6" s="19" t="s">
        <v>89</v>
      </c>
      <c r="D6" s="19" t="s">
        <v>348</v>
      </c>
      <c r="E6" s="19">
        <v>30</v>
      </c>
      <c r="F6" s="19">
        <v>139</v>
      </c>
      <c r="G6" s="19">
        <v>214</v>
      </c>
      <c r="H6" s="19">
        <v>255</v>
      </c>
      <c r="I6" s="19">
        <v>280</v>
      </c>
      <c r="J6" s="19">
        <v>300</v>
      </c>
      <c r="K6" s="19">
        <v>300</v>
      </c>
      <c r="L6" s="19" t="s">
        <v>125</v>
      </c>
      <c r="M6" s="19" t="s">
        <v>125</v>
      </c>
      <c r="N6" s="23"/>
    </row>
    <row r="7" spans="1:14" x14ac:dyDescent="0.2">
      <c r="B7" s="19" t="s">
        <v>22</v>
      </c>
      <c r="C7" s="19" t="s">
        <v>90</v>
      </c>
      <c r="D7" s="19" t="s">
        <v>349</v>
      </c>
      <c r="E7" s="19">
        <v>0</v>
      </c>
      <c r="F7" s="19">
        <v>1.4</v>
      </c>
      <c r="G7" s="19">
        <v>3.1</v>
      </c>
      <c r="H7" s="19">
        <v>4.0999999999999996</v>
      </c>
      <c r="I7" s="19">
        <v>6.1</v>
      </c>
      <c r="J7" s="19">
        <v>12</v>
      </c>
      <c r="K7" s="19">
        <v>20</v>
      </c>
      <c r="L7" s="19" t="s">
        <v>125</v>
      </c>
      <c r="M7" s="19" t="s">
        <v>125</v>
      </c>
    </row>
    <row r="8" spans="1:14" x14ac:dyDescent="0.2">
      <c r="A8" s="19" t="s">
        <v>23</v>
      </c>
      <c r="B8" s="19" t="s">
        <v>19</v>
      </c>
      <c r="C8" s="19" t="s">
        <v>91</v>
      </c>
      <c r="D8" s="19" t="s">
        <v>350</v>
      </c>
      <c r="E8" s="19">
        <v>30</v>
      </c>
      <c r="F8" s="19">
        <v>159</v>
      </c>
      <c r="G8" s="19">
        <v>280</v>
      </c>
      <c r="H8" s="19">
        <v>345</v>
      </c>
      <c r="I8" s="19">
        <v>388</v>
      </c>
      <c r="J8" s="19">
        <v>400</v>
      </c>
      <c r="K8" s="19">
        <v>400</v>
      </c>
      <c r="L8" s="19" t="s">
        <v>125</v>
      </c>
      <c r="M8" s="19" t="s">
        <v>125</v>
      </c>
    </row>
    <row r="9" spans="1:14" x14ac:dyDescent="0.2">
      <c r="B9" s="19" t="s">
        <v>22</v>
      </c>
      <c r="C9" s="19" t="s">
        <v>92</v>
      </c>
      <c r="D9" s="19" t="s">
        <v>351</v>
      </c>
      <c r="E9" s="19">
        <v>0</v>
      </c>
      <c r="F9" s="19">
        <v>2.1</v>
      </c>
      <c r="G9" s="19">
        <v>4.0999999999999996</v>
      </c>
      <c r="H9" s="19">
        <v>6.7</v>
      </c>
      <c r="I9" s="19">
        <v>9.1</v>
      </c>
      <c r="J9" s="19">
        <v>12</v>
      </c>
      <c r="K9" s="19">
        <v>20</v>
      </c>
      <c r="L9" s="19" t="s">
        <v>125</v>
      </c>
      <c r="M9" s="19" t="s">
        <v>125</v>
      </c>
    </row>
    <row r="10" spans="1:14" x14ac:dyDescent="0.2">
      <c r="A10" s="19" t="s">
        <v>24</v>
      </c>
      <c r="B10" s="19" t="s">
        <v>19</v>
      </c>
      <c r="C10" s="19" t="s">
        <v>93</v>
      </c>
      <c r="D10" s="19" t="s">
        <v>352</v>
      </c>
      <c r="E10" s="19">
        <v>30</v>
      </c>
      <c r="F10" s="19">
        <v>139</v>
      </c>
      <c r="G10" s="19">
        <v>214</v>
      </c>
      <c r="H10" s="19">
        <v>255</v>
      </c>
      <c r="I10" s="19">
        <v>280</v>
      </c>
      <c r="J10" s="19">
        <v>300</v>
      </c>
      <c r="K10" s="19">
        <v>300</v>
      </c>
      <c r="L10" s="19" t="s">
        <v>125</v>
      </c>
      <c r="M10" s="19" t="s">
        <v>125</v>
      </c>
    </row>
    <row r="11" spans="1:14" x14ac:dyDescent="0.2">
      <c r="B11" s="19" t="s">
        <v>22</v>
      </c>
      <c r="C11" s="19" t="s">
        <v>94</v>
      </c>
      <c r="D11" s="19" t="s">
        <v>353</v>
      </c>
      <c r="E11" s="19">
        <v>0</v>
      </c>
      <c r="F11" s="19">
        <v>1.4</v>
      </c>
      <c r="G11" s="19">
        <v>3.1</v>
      </c>
      <c r="H11" s="19">
        <v>4.0999999999999996</v>
      </c>
      <c r="I11" s="19">
        <v>6.1</v>
      </c>
      <c r="J11" s="19">
        <v>12</v>
      </c>
      <c r="K11" s="19">
        <v>20</v>
      </c>
      <c r="L11" s="19" t="s">
        <v>125</v>
      </c>
      <c r="M11" s="19" t="s">
        <v>125</v>
      </c>
    </row>
    <row r="12" spans="1:14" x14ac:dyDescent="0.2">
      <c r="A12" s="19" t="s">
        <v>25</v>
      </c>
      <c r="B12" s="19" t="s">
        <v>19</v>
      </c>
      <c r="C12" s="19" t="s">
        <v>95</v>
      </c>
      <c r="D12" s="19" t="s">
        <v>354</v>
      </c>
      <c r="E12" s="19">
        <v>18</v>
      </c>
      <c r="F12" s="19">
        <v>40</v>
      </c>
      <c r="G12" s="19">
        <v>65</v>
      </c>
      <c r="H12" s="19">
        <v>78</v>
      </c>
      <c r="I12" s="19">
        <v>95</v>
      </c>
      <c r="J12" s="19">
        <v>130</v>
      </c>
      <c r="K12" s="19">
        <v>140</v>
      </c>
      <c r="L12" s="19" t="s">
        <v>125</v>
      </c>
      <c r="M12" s="19" t="s">
        <v>125</v>
      </c>
    </row>
    <row r="13" spans="1:14" x14ac:dyDescent="0.2">
      <c r="B13" s="19" t="s">
        <v>22</v>
      </c>
      <c r="C13" s="19" t="s">
        <v>96</v>
      </c>
      <c r="D13" s="19" t="s">
        <v>355</v>
      </c>
      <c r="E13" s="19">
        <v>0</v>
      </c>
      <c r="F13" s="19">
        <v>1.4</v>
      </c>
      <c r="G13" s="19">
        <v>3.1</v>
      </c>
      <c r="H13" s="19">
        <v>4.0999999999999996</v>
      </c>
      <c r="I13" s="19">
        <v>6.1</v>
      </c>
      <c r="J13" s="19">
        <v>12</v>
      </c>
      <c r="K13" s="19">
        <v>20</v>
      </c>
      <c r="L13" s="19" t="s">
        <v>125</v>
      </c>
      <c r="M13" s="19" t="s">
        <v>125</v>
      </c>
    </row>
    <row r="14" spans="1:14" x14ac:dyDescent="0.2">
      <c r="A14" s="19" t="s">
        <v>26</v>
      </c>
      <c r="C14" s="19" t="s">
        <v>97</v>
      </c>
      <c r="D14" s="19" t="s">
        <v>356</v>
      </c>
      <c r="E14" s="19">
        <v>128</v>
      </c>
      <c r="F14" s="19">
        <v>128</v>
      </c>
      <c r="G14" s="19">
        <v>10</v>
      </c>
      <c r="H14" s="19">
        <v>10</v>
      </c>
      <c r="I14" s="19" t="s">
        <v>125</v>
      </c>
      <c r="J14" s="19" t="s">
        <v>125</v>
      </c>
      <c r="K14" s="19" t="s">
        <v>125</v>
      </c>
      <c r="L14" s="19" t="s">
        <v>125</v>
      </c>
      <c r="M14" s="19" t="s">
        <v>125</v>
      </c>
    </row>
    <row r="15" spans="1:14" x14ac:dyDescent="0.2">
      <c r="A15" s="19" t="s">
        <v>27</v>
      </c>
      <c r="B15" s="19" t="s">
        <v>22</v>
      </c>
      <c r="C15" s="19" t="s">
        <v>98</v>
      </c>
      <c r="D15" s="19" t="s">
        <v>357</v>
      </c>
      <c r="E15" s="19">
        <v>0</v>
      </c>
      <c r="F15" s="19">
        <v>6.25E-2</v>
      </c>
      <c r="G15" s="19">
        <v>0.625</v>
      </c>
      <c r="H15" s="19">
        <v>1.5</v>
      </c>
      <c r="I15" s="19" t="s">
        <v>125</v>
      </c>
      <c r="J15" s="19" t="s">
        <v>125</v>
      </c>
      <c r="K15" s="19" t="s">
        <v>125</v>
      </c>
      <c r="L15" s="19" t="s">
        <v>125</v>
      </c>
      <c r="M15" s="19" t="s">
        <v>125</v>
      </c>
    </row>
    <row r="16" spans="1:14" x14ac:dyDescent="0.2">
      <c r="C16" s="19" t="s">
        <v>119</v>
      </c>
      <c r="D16" s="19" t="s">
        <v>358</v>
      </c>
      <c r="E16" s="19">
        <v>0.2</v>
      </c>
      <c r="F16" s="19">
        <v>0.3</v>
      </c>
      <c r="G16" s="19">
        <v>0.4</v>
      </c>
      <c r="H16" s="19">
        <v>0.5</v>
      </c>
      <c r="I16" s="19">
        <v>0.6</v>
      </c>
      <c r="J16" s="19">
        <v>0.7</v>
      </c>
      <c r="K16" s="19">
        <v>0.8</v>
      </c>
      <c r="L16" s="19" t="s">
        <v>125</v>
      </c>
      <c r="M16" s="19" t="s">
        <v>125</v>
      </c>
    </row>
    <row r="17" spans="1:13" x14ac:dyDescent="0.2">
      <c r="A17" s="32" t="s">
        <v>123</v>
      </c>
      <c r="B17" s="19" t="s">
        <v>19</v>
      </c>
      <c r="C17" s="19" t="s">
        <v>120</v>
      </c>
      <c r="D17" s="19" t="s">
        <v>359</v>
      </c>
      <c r="E17" s="19">
        <v>120</v>
      </c>
      <c r="F17" s="19">
        <v>182.5</v>
      </c>
      <c r="G17" s="19">
        <v>182.5</v>
      </c>
      <c r="H17" s="19">
        <v>365</v>
      </c>
      <c r="I17" s="19">
        <v>547.5</v>
      </c>
      <c r="J17" s="19">
        <v>547.5</v>
      </c>
      <c r="K17" s="19">
        <v>547.5</v>
      </c>
      <c r="L17" s="19" t="s">
        <v>125</v>
      </c>
      <c r="M17" s="19" t="s">
        <v>125</v>
      </c>
    </row>
    <row r="18" spans="1:13" x14ac:dyDescent="0.2">
      <c r="C18" s="19" t="s">
        <v>121</v>
      </c>
      <c r="D18" s="19" t="s">
        <v>360</v>
      </c>
      <c r="E18" s="19">
        <v>0.2</v>
      </c>
      <c r="F18" s="19">
        <v>0.3</v>
      </c>
      <c r="G18" s="19">
        <v>0.4</v>
      </c>
      <c r="H18" s="19">
        <v>0.5</v>
      </c>
      <c r="I18" s="19">
        <v>0.6</v>
      </c>
      <c r="J18" s="19">
        <v>0.7</v>
      </c>
      <c r="K18" s="19">
        <v>0.8</v>
      </c>
      <c r="L18" s="19" t="s">
        <v>125</v>
      </c>
      <c r="M18" s="19" t="s">
        <v>125</v>
      </c>
    </row>
    <row r="19" spans="1:13" x14ac:dyDescent="0.2">
      <c r="A19" s="19" t="s">
        <v>124</v>
      </c>
      <c r="B19" s="19" t="s">
        <v>19</v>
      </c>
      <c r="C19" s="19" t="s">
        <v>122</v>
      </c>
      <c r="D19" s="19" t="s">
        <v>361</v>
      </c>
      <c r="E19" s="19">
        <v>182.5</v>
      </c>
      <c r="F19" s="19">
        <v>182.5</v>
      </c>
      <c r="G19" s="19">
        <v>365</v>
      </c>
      <c r="H19" s="19">
        <v>547.5</v>
      </c>
      <c r="I19" s="19">
        <v>730</v>
      </c>
      <c r="J19" s="19">
        <v>730</v>
      </c>
      <c r="K19" s="19">
        <v>730</v>
      </c>
      <c r="L19" s="19" t="s">
        <v>125</v>
      </c>
      <c r="M19" s="19" t="s">
        <v>125</v>
      </c>
    </row>
    <row r="20" spans="1:13" x14ac:dyDescent="0.2">
      <c r="A20" s="19" t="s">
        <v>28</v>
      </c>
      <c r="B20" s="19" t="s">
        <v>15</v>
      </c>
      <c r="C20" s="19" t="s">
        <v>99</v>
      </c>
      <c r="D20" s="19" t="s">
        <v>362</v>
      </c>
      <c r="E20" s="19">
        <v>282</v>
      </c>
      <c r="F20" s="19" t="s">
        <v>125</v>
      </c>
      <c r="G20" s="19" t="s">
        <v>125</v>
      </c>
      <c r="H20" s="19" t="s">
        <v>125</v>
      </c>
      <c r="I20" s="19" t="s">
        <v>125</v>
      </c>
      <c r="J20" s="19" t="s">
        <v>125</v>
      </c>
      <c r="K20" s="19" t="s">
        <v>125</v>
      </c>
      <c r="L20" s="19" t="s">
        <v>125</v>
      </c>
      <c r="M20" s="19" t="s">
        <v>125</v>
      </c>
    </row>
    <row r="21" spans="1:13" x14ac:dyDescent="0.2">
      <c r="A21" s="19" t="s">
        <v>29</v>
      </c>
      <c r="C21" s="19" t="s">
        <v>100</v>
      </c>
      <c r="D21" s="19" t="s">
        <v>29</v>
      </c>
      <c r="E21" s="19">
        <v>1</v>
      </c>
      <c r="F21" s="19" t="s">
        <v>125</v>
      </c>
      <c r="G21" s="19" t="s">
        <v>125</v>
      </c>
      <c r="H21" s="19" t="s">
        <v>125</v>
      </c>
      <c r="I21" s="19" t="s">
        <v>125</v>
      </c>
      <c r="J21" s="19" t="s">
        <v>125</v>
      </c>
      <c r="K21" s="19" t="s">
        <v>125</v>
      </c>
      <c r="L21" s="19" t="s">
        <v>125</v>
      </c>
      <c r="M21" s="19" t="s">
        <v>125</v>
      </c>
    </row>
    <row r="22" spans="1:13" x14ac:dyDescent="0.2">
      <c r="A22" s="19" t="s">
        <v>30</v>
      </c>
      <c r="C22" s="19" t="s">
        <v>101</v>
      </c>
      <c r="D22" s="19" t="s">
        <v>363</v>
      </c>
      <c r="E22" s="19">
        <v>0.75</v>
      </c>
      <c r="F22" s="19">
        <v>1</v>
      </c>
      <c r="G22" s="19">
        <v>1</v>
      </c>
      <c r="H22" s="19">
        <v>0.85</v>
      </c>
      <c r="I22" s="19">
        <v>0</v>
      </c>
      <c r="J22" s="19" t="s">
        <v>125</v>
      </c>
      <c r="K22" s="19" t="s">
        <v>125</v>
      </c>
      <c r="L22" s="19" t="s">
        <v>125</v>
      </c>
      <c r="M22" s="19" t="s">
        <v>125</v>
      </c>
    </row>
    <row r="23" spans="1:13" x14ac:dyDescent="0.2">
      <c r="A23" s="19" t="s">
        <v>31</v>
      </c>
      <c r="C23" s="19" t="s">
        <v>102</v>
      </c>
      <c r="D23" s="19" t="s">
        <v>364</v>
      </c>
      <c r="E23" s="19">
        <v>3.5</v>
      </c>
      <c r="F23" s="19">
        <v>5</v>
      </c>
      <c r="G23" s="19">
        <v>9</v>
      </c>
      <c r="H23" s="19">
        <v>10</v>
      </c>
      <c r="I23" s="19">
        <v>20</v>
      </c>
      <c r="J23" s="19" t="s">
        <v>125</v>
      </c>
      <c r="K23" s="19" t="s">
        <v>125</v>
      </c>
      <c r="L23" s="19" t="s">
        <v>125</v>
      </c>
      <c r="M23" s="19" t="s">
        <v>125</v>
      </c>
    </row>
    <row r="24" spans="1:13" x14ac:dyDescent="0.2">
      <c r="A24" s="19" t="s">
        <v>32</v>
      </c>
      <c r="C24" s="19" t="s">
        <v>103</v>
      </c>
      <c r="D24" s="19" t="s">
        <v>365</v>
      </c>
      <c r="E24" s="19">
        <v>230</v>
      </c>
      <c r="F24" s="19">
        <v>169</v>
      </c>
      <c r="G24" s="19">
        <v>115</v>
      </c>
      <c r="H24" s="19">
        <v>110</v>
      </c>
      <c r="I24" s="19">
        <v>120</v>
      </c>
      <c r="J24" s="19">
        <v>140</v>
      </c>
      <c r="K24" s="19">
        <v>145</v>
      </c>
      <c r="L24" s="19" t="s">
        <v>125</v>
      </c>
      <c r="M24" s="19" t="s">
        <v>125</v>
      </c>
    </row>
    <row r="25" spans="1:13" x14ac:dyDescent="0.2">
      <c r="B25" s="19" t="s">
        <v>22</v>
      </c>
      <c r="C25" s="19" t="s">
        <v>104</v>
      </c>
      <c r="D25" s="19" t="s">
        <v>140</v>
      </c>
      <c r="E25" s="19">
        <v>3.5</v>
      </c>
      <c r="F25" s="19">
        <v>4.2300000000000004</v>
      </c>
      <c r="G25" s="19">
        <v>5</v>
      </c>
      <c r="H25" s="19">
        <v>6.1</v>
      </c>
      <c r="I25" s="19">
        <v>12</v>
      </c>
      <c r="J25" s="19">
        <v>13</v>
      </c>
      <c r="K25" s="19">
        <v>20</v>
      </c>
      <c r="L25" s="19" t="s">
        <v>125</v>
      </c>
      <c r="M25" s="19" t="s">
        <v>125</v>
      </c>
    </row>
    <row r="26" spans="1:13" x14ac:dyDescent="0.2">
      <c r="A26" s="19" t="s">
        <v>33</v>
      </c>
      <c r="C26" s="19" t="s">
        <v>105</v>
      </c>
      <c r="D26" s="19" t="s">
        <v>366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1</v>
      </c>
      <c r="M26" s="19" t="s">
        <v>125</v>
      </c>
    </row>
    <row r="27" spans="1:13" x14ac:dyDescent="0.2">
      <c r="A27" s="19" t="s">
        <v>34</v>
      </c>
      <c r="C27" s="19" t="s">
        <v>106</v>
      </c>
      <c r="D27" s="19" t="s">
        <v>367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1</v>
      </c>
      <c r="M27" s="19" t="s">
        <v>125</v>
      </c>
    </row>
    <row r="28" spans="1:13" x14ac:dyDescent="0.2">
      <c r="A28" s="19" t="s">
        <v>35</v>
      </c>
      <c r="B28" s="19" t="s">
        <v>22</v>
      </c>
      <c r="C28" s="19" t="s">
        <v>107</v>
      </c>
      <c r="D28" s="19" t="s">
        <v>385</v>
      </c>
      <c r="E28" s="19">
        <v>0</v>
      </c>
      <c r="F28" s="19">
        <v>1</v>
      </c>
      <c r="G28" s="19">
        <v>2</v>
      </c>
      <c r="H28" s="19">
        <v>3</v>
      </c>
      <c r="I28" s="19">
        <v>4</v>
      </c>
      <c r="J28" s="19">
        <v>5</v>
      </c>
      <c r="K28" s="19">
        <v>12</v>
      </c>
      <c r="L28" s="19">
        <v>20</v>
      </c>
      <c r="M28" s="19" t="s">
        <v>125</v>
      </c>
    </row>
    <row r="29" spans="1:13" x14ac:dyDescent="0.2">
      <c r="A29" s="19" t="s">
        <v>36</v>
      </c>
      <c r="C29" s="19" t="s">
        <v>108</v>
      </c>
      <c r="D29" s="19" t="s">
        <v>368</v>
      </c>
      <c r="E29" s="19">
        <v>18</v>
      </c>
      <c r="F29" s="19" t="s">
        <v>125</v>
      </c>
      <c r="G29" s="19" t="s">
        <v>125</v>
      </c>
      <c r="H29" s="19" t="s">
        <v>125</v>
      </c>
      <c r="I29" s="19" t="s">
        <v>125</v>
      </c>
      <c r="J29" s="19" t="s">
        <v>125</v>
      </c>
      <c r="K29" s="19" t="s">
        <v>125</v>
      </c>
      <c r="L29" s="19" t="s">
        <v>125</v>
      </c>
      <c r="M29" s="19" t="s">
        <v>125</v>
      </c>
    </row>
    <row r="30" spans="1:13" x14ac:dyDescent="0.2">
      <c r="C30" s="19" t="s">
        <v>109</v>
      </c>
      <c r="D30" s="19" t="s">
        <v>248</v>
      </c>
      <c r="E30" s="19">
        <v>142</v>
      </c>
      <c r="F30" s="19" t="s">
        <v>125</v>
      </c>
      <c r="G30" s="19" t="s">
        <v>125</v>
      </c>
      <c r="H30" s="19" t="s">
        <v>125</v>
      </c>
      <c r="I30" s="19" t="s">
        <v>125</v>
      </c>
      <c r="J30" s="19" t="s">
        <v>125</v>
      </c>
      <c r="K30" s="19" t="s">
        <v>125</v>
      </c>
      <c r="L30" s="19" t="s">
        <v>125</v>
      </c>
      <c r="M30" s="19" t="s">
        <v>125</v>
      </c>
    </row>
    <row r="31" spans="1:13" x14ac:dyDescent="0.2">
      <c r="C31" s="19" t="s">
        <v>110</v>
      </c>
      <c r="D31" s="19" t="s">
        <v>246</v>
      </c>
      <c r="E31" s="19">
        <v>23.3</v>
      </c>
      <c r="F31" s="19" t="s">
        <v>125</v>
      </c>
      <c r="G31" s="19" t="s">
        <v>125</v>
      </c>
      <c r="H31" s="19" t="s">
        <v>125</v>
      </c>
      <c r="I31" s="19" t="s">
        <v>125</v>
      </c>
      <c r="J31" s="19" t="s">
        <v>125</v>
      </c>
      <c r="K31" s="19" t="s">
        <v>125</v>
      </c>
      <c r="L31" s="19" t="s">
        <v>125</v>
      </c>
      <c r="M31" s="19" t="s">
        <v>125</v>
      </c>
    </row>
    <row r="32" spans="1:13" x14ac:dyDescent="0.2">
      <c r="A32" s="19" t="s">
        <v>4</v>
      </c>
      <c r="C32" s="19" t="s">
        <v>111</v>
      </c>
      <c r="D32" s="19" t="s">
        <v>369</v>
      </c>
      <c r="E32" s="19">
        <v>3.7</v>
      </c>
      <c r="F32" s="19" t="s">
        <v>125</v>
      </c>
      <c r="G32" s="19" t="s">
        <v>125</v>
      </c>
      <c r="H32" s="19" t="s">
        <v>125</v>
      </c>
      <c r="I32" s="19" t="s">
        <v>125</v>
      </c>
      <c r="J32" s="19" t="s">
        <v>125</v>
      </c>
      <c r="K32" s="19" t="s">
        <v>125</v>
      </c>
      <c r="L32" s="19" t="s">
        <v>125</v>
      </c>
      <c r="M32" s="19" t="s">
        <v>125</v>
      </c>
    </row>
    <row r="33" spans="1:13" x14ac:dyDescent="0.2">
      <c r="A33" s="19" t="s">
        <v>37</v>
      </c>
      <c r="B33" s="19" t="s">
        <v>38</v>
      </c>
      <c r="C33" s="19" t="s">
        <v>112</v>
      </c>
      <c r="D33" s="19" t="s">
        <v>370</v>
      </c>
      <c r="E33" s="19">
        <v>2200</v>
      </c>
      <c r="F33" s="19">
        <v>2200</v>
      </c>
      <c r="G33" s="19">
        <v>1250</v>
      </c>
      <c r="H33" s="19">
        <v>0</v>
      </c>
      <c r="I33" s="19" t="s">
        <v>125</v>
      </c>
      <c r="J33" s="19" t="s">
        <v>125</v>
      </c>
      <c r="K33" s="19" t="s">
        <v>125</v>
      </c>
      <c r="L33" s="19" t="s">
        <v>125</v>
      </c>
      <c r="M33" s="19" t="s">
        <v>125</v>
      </c>
    </row>
    <row r="34" spans="1:13" x14ac:dyDescent="0.2">
      <c r="A34" s="19" t="s">
        <v>39</v>
      </c>
      <c r="B34" s="19" t="s">
        <v>22</v>
      </c>
      <c r="C34" s="19" t="s">
        <v>113</v>
      </c>
      <c r="D34" s="19" t="s">
        <v>371</v>
      </c>
      <c r="E34" s="19">
        <v>0</v>
      </c>
      <c r="F34" s="19">
        <v>0.16666666666666699</v>
      </c>
      <c r="G34" s="19">
        <v>0.75</v>
      </c>
      <c r="H34" s="19">
        <v>1.5</v>
      </c>
      <c r="I34" s="19" t="s">
        <v>125</v>
      </c>
      <c r="J34" s="19" t="s">
        <v>125</v>
      </c>
      <c r="K34" s="19" t="s">
        <v>125</v>
      </c>
      <c r="L34" s="19" t="s">
        <v>125</v>
      </c>
      <c r="M34" s="19" t="s">
        <v>125</v>
      </c>
    </row>
    <row r="35" spans="1:13" x14ac:dyDescent="0.2">
      <c r="A35" s="19" t="s">
        <v>40</v>
      </c>
      <c r="C35" s="19" t="s">
        <v>114</v>
      </c>
      <c r="D35" s="19" t="s">
        <v>372</v>
      </c>
      <c r="E35" s="19">
        <v>40.5</v>
      </c>
      <c r="F35" s="19">
        <v>48</v>
      </c>
      <c r="G35" s="19">
        <v>55.5</v>
      </c>
      <c r="H35" s="19">
        <v>60</v>
      </c>
      <c r="I35" s="19">
        <v>63</v>
      </c>
      <c r="J35" s="19" t="s">
        <v>125</v>
      </c>
      <c r="K35" s="19" t="s">
        <v>125</v>
      </c>
      <c r="L35" s="19" t="s">
        <v>125</v>
      </c>
      <c r="M35" s="19" t="s">
        <v>125</v>
      </c>
    </row>
    <row r="36" spans="1:13" x14ac:dyDescent="0.2">
      <c r="A36" s="19" t="s">
        <v>41</v>
      </c>
      <c r="B36" s="19" t="s">
        <v>22</v>
      </c>
      <c r="C36" s="19" t="s">
        <v>115</v>
      </c>
      <c r="D36" s="19" t="s">
        <v>373</v>
      </c>
      <c r="E36" s="19">
        <v>0</v>
      </c>
      <c r="F36" s="19">
        <v>0.25</v>
      </c>
      <c r="G36" s="19">
        <v>0.5</v>
      </c>
      <c r="H36" s="19">
        <v>0.83333333333333304</v>
      </c>
      <c r="I36" s="19">
        <v>1.5</v>
      </c>
      <c r="J36" s="19" t="s">
        <v>125</v>
      </c>
      <c r="K36" s="19" t="s">
        <v>125</v>
      </c>
      <c r="L36" s="19" t="s">
        <v>125</v>
      </c>
      <c r="M36" s="19" t="s">
        <v>125</v>
      </c>
    </row>
    <row r="37" spans="1:13" x14ac:dyDescent="0.2">
      <c r="A37" s="32" t="s">
        <v>42</v>
      </c>
      <c r="C37" s="19" t="s">
        <v>116</v>
      </c>
      <c r="D37" s="32" t="s">
        <v>388</v>
      </c>
      <c r="E37" s="19">
        <v>0.8</v>
      </c>
      <c r="F37" s="19">
        <v>0.8</v>
      </c>
      <c r="G37" s="19">
        <v>1</v>
      </c>
      <c r="H37" s="19">
        <v>1</v>
      </c>
      <c r="I37" s="19">
        <v>0.6</v>
      </c>
      <c r="J37" s="19">
        <v>0.3</v>
      </c>
      <c r="K37" s="19" t="s">
        <v>125</v>
      </c>
      <c r="L37" s="19" t="s">
        <v>125</v>
      </c>
      <c r="M37" s="19" t="s">
        <v>125</v>
      </c>
    </row>
    <row r="38" spans="1:13" x14ac:dyDescent="0.2">
      <c r="A38" s="32" t="s">
        <v>43</v>
      </c>
      <c r="C38" s="19" t="s">
        <v>117</v>
      </c>
      <c r="D38" s="19" t="s">
        <v>374</v>
      </c>
      <c r="E38" s="19">
        <v>3.5</v>
      </c>
      <c r="F38" s="19">
        <v>4.5</v>
      </c>
      <c r="G38" s="19">
        <v>5.5</v>
      </c>
      <c r="H38" s="19">
        <v>8</v>
      </c>
      <c r="I38" s="19">
        <v>15</v>
      </c>
      <c r="J38" s="19">
        <v>20</v>
      </c>
      <c r="K38" s="19" t="s">
        <v>125</v>
      </c>
      <c r="L38" s="19" t="s">
        <v>125</v>
      </c>
      <c r="M38" s="19" t="s">
        <v>125</v>
      </c>
    </row>
    <row r="39" spans="1:13" x14ac:dyDescent="0.2">
      <c r="A39" s="32" t="s">
        <v>126</v>
      </c>
      <c r="C39" s="19" t="s">
        <v>130</v>
      </c>
      <c r="D39" s="19" t="s">
        <v>375</v>
      </c>
      <c r="E39" s="19">
        <v>15</v>
      </c>
      <c r="F39" s="19" t="s">
        <v>125</v>
      </c>
      <c r="G39" s="19" t="s">
        <v>125</v>
      </c>
      <c r="H39" s="19" t="s">
        <v>125</v>
      </c>
      <c r="I39" s="19" t="s">
        <v>125</v>
      </c>
      <c r="J39" s="19" t="s">
        <v>125</v>
      </c>
      <c r="K39" s="19" t="s">
        <v>125</v>
      </c>
      <c r="L39" s="19" t="s">
        <v>125</v>
      </c>
      <c r="M39" s="19" t="s">
        <v>125</v>
      </c>
    </row>
    <row r="40" spans="1:13" x14ac:dyDescent="0.2">
      <c r="C40" s="19" t="s">
        <v>118</v>
      </c>
      <c r="D40" s="19" t="s">
        <v>376</v>
      </c>
      <c r="E40" s="19">
        <v>3</v>
      </c>
      <c r="F40" s="19" t="s">
        <v>125</v>
      </c>
      <c r="G40" s="19" t="s">
        <v>125</v>
      </c>
      <c r="H40" s="19" t="s">
        <v>125</v>
      </c>
      <c r="I40" s="19" t="s">
        <v>125</v>
      </c>
      <c r="J40" s="19" t="s">
        <v>125</v>
      </c>
      <c r="K40" s="19" t="s">
        <v>125</v>
      </c>
      <c r="L40" s="19" t="s">
        <v>125</v>
      </c>
      <c r="M40" s="19" t="s">
        <v>125</v>
      </c>
    </row>
    <row r="41" spans="1:13" x14ac:dyDescent="0.2">
      <c r="A41" s="32" t="s">
        <v>136</v>
      </c>
      <c r="B41" s="19" t="s">
        <v>135</v>
      </c>
      <c r="C41" s="19" t="s">
        <v>134</v>
      </c>
      <c r="D41" s="19" t="s">
        <v>275</v>
      </c>
      <c r="E41" s="19">
        <v>1</v>
      </c>
      <c r="F41" s="19" t="s">
        <v>125</v>
      </c>
      <c r="G41" s="19" t="s">
        <v>125</v>
      </c>
      <c r="H41" s="19" t="s">
        <v>125</v>
      </c>
      <c r="I41" s="19" t="s">
        <v>125</v>
      </c>
      <c r="J41" s="19" t="s">
        <v>125</v>
      </c>
      <c r="K41" s="19" t="s">
        <v>125</v>
      </c>
      <c r="L41" s="19" t="s">
        <v>125</v>
      </c>
      <c r="M41" s="19" t="s">
        <v>125</v>
      </c>
    </row>
    <row r="42" spans="1:13" x14ac:dyDescent="0.2">
      <c r="A42" s="32" t="s">
        <v>151</v>
      </c>
      <c r="C42" s="19" t="s">
        <v>147</v>
      </c>
      <c r="D42" s="19" t="s">
        <v>377</v>
      </c>
      <c r="E42" s="19">
        <v>1.1000000000000001</v>
      </c>
      <c r="F42" s="19">
        <v>1.35</v>
      </c>
      <c r="G42" s="19">
        <v>1.286</v>
      </c>
      <c r="H42" s="19">
        <v>1.2</v>
      </c>
      <c r="I42" s="19">
        <v>1</v>
      </c>
      <c r="J42" s="19" t="s">
        <v>125</v>
      </c>
      <c r="K42" s="19" t="s">
        <v>125</v>
      </c>
      <c r="L42" s="19" t="s">
        <v>125</v>
      </c>
      <c r="M42" s="19" t="s">
        <v>125</v>
      </c>
    </row>
    <row r="43" spans="1:13" x14ac:dyDescent="0.2">
      <c r="A43" s="32"/>
      <c r="C43" s="13"/>
      <c r="D43" s="13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43"/>
  </sheetPr>
  <dimension ref="A1:P43"/>
  <sheetViews>
    <sheetView topLeftCell="C1" zoomScaleNormal="100" workbookViewId="0">
      <selection activeCell="E3" sqref="E3:M42"/>
    </sheetView>
  </sheetViews>
  <sheetFormatPr defaultColWidth="11.42578125" defaultRowHeight="12.75" x14ac:dyDescent="0.2"/>
  <cols>
    <col min="1" max="1" width="28.85546875" style="4" bestFit="1" customWidth="1"/>
    <col min="2" max="2" width="17" style="4" customWidth="1"/>
    <col min="3" max="3" width="27.85546875" style="13" bestFit="1" customWidth="1"/>
    <col min="4" max="4" width="12.7109375" style="13" bestFit="1" customWidth="1"/>
    <col min="5" max="13" width="8.7109375" style="13" customWidth="1"/>
    <col min="14" max="14" width="11.42578125" style="4"/>
  </cols>
  <sheetData>
    <row r="1" spans="1:14" x14ac:dyDescent="0.2">
      <c r="A1" s="2" t="s">
        <v>156</v>
      </c>
    </row>
    <row r="2" spans="1:14" x14ac:dyDescent="0.2">
      <c r="A2" s="2"/>
      <c r="B2" s="2" t="s">
        <v>11</v>
      </c>
      <c r="C2" s="14" t="s">
        <v>12</v>
      </c>
      <c r="D2" s="14"/>
      <c r="E2" s="14" t="s">
        <v>13</v>
      </c>
      <c r="F2" s="32"/>
      <c r="G2" s="32"/>
      <c r="H2" s="32"/>
      <c r="I2" s="32"/>
      <c r="J2" s="32"/>
      <c r="K2" s="32"/>
      <c r="L2" s="32"/>
      <c r="M2" s="32"/>
    </row>
    <row r="3" spans="1:14" x14ac:dyDescent="0.2">
      <c r="A3" s="4" t="s">
        <v>17</v>
      </c>
      <c r="C3" s="13" t="s">
        <v>86</v>
      </c>
      <c r="D3" s="32" t="s">
        <v>387</v>
      </c>
      <c r="E3" s="15">
        <v>0.03</v>
      </c>
      <c r="F3" s="15" t="s">
        <v>125</v>
      </c>
      <c r="G3" s="15" t="s">
        <v>125</v>
      </c>
      <c r="H3" s="15" t="s">
        <v>125</v>
      </c>
      <c r="I3" s="15" t="s">
        <v>125</v>
      </c>
      <c r="J3" s="15" t="s">
        <v>125</v>
      </c>
      <c r="K3" s="15" t="s">
        <v>125</v>
      </c>
      <c r="L3" s="15" t="s">
        <v>125</v>
      </c>
      <c r="M3" s="13" t="s">
        <v>125</v>
      </c>
    </row>
    <row r="4" spans="1:14" x14ac:dyDescent="0.2">
      <c r="A4" s="4" t="s">
        <v>18</v>
      </c>
      <c r="B4" s="4" t="s">
        <v>19</v>
      </c>
      <c r="C4" s="13" t="s">
        <v>87</v>
      </c>
      <c r="D4" s="19" t="s">
        <v>346</v>
      </c>
      <c r="E4" s="16">
        <v>500</v>
      </c>
      <c r="F4" s="16" t="s">
        <v>125</v>
      </c>
      <c r="G4" s="16" t="s">
        <v>125</v>
      </c>
      <c r="H4" s="16" t="s">
        <v>125</v>
      </c>
      <c r="I4" s="16" t="s">
        <v>125</v>
      </c>
      <c r="J4" s="15" t="s">
        <v>125</v>
      </c>
      <c r="K4" s="15" t="s">
        <v>125</v>
      </c>
      <c r="L4" s="15" t="s">
        <v>125</v>
      </c>
      <c r="M4" s="13" t="s">
        <v>125</v>
      </c>
    </row>
    <row r="5" spans="1:14" x14ac:dyDescent="0.2">
      <c r="A5" s="4" t="s">
        <v>20</v>
      </c>
      <c r="B5" s="4" t="s">
        <v>19</v>
      </c>
      <c r="C5" s="13" t="s">
        <v>88</v>
      </c>
      <c r="D5" s="19" t="s">
        <v>347</v>
      </c>
      <c r="E5" s="16">
        <v>350</v>
      </c>
      <c r="F5" s="16" t="s">
        <v>125</v>
      </c>
      <c r="G5" s="16" t="s">
        <v>125</v>
      </c>
      <c r="H5" s="16" t="s">
        <v>125</v>
      </c>
      <c r="I5" s="16" t="s">
        <v>125</v>
      </c>
      <c r="J5" s="15" t="s">
        <v>125</v>
      </c>
      <c r="K5" s="15" t="s">
        <v>125</v>
      </c>
      <c r="L5" s="15" t="s">
        <v>125</v>
      </c>
      <c r="M5" s="13" t="s">
        <v>125</v>
      </c>
    </row>
    <row r="6" spans="1:14" x14ac:dyDescent="0.2">
      <c r="A6" s="4" t="s">
        <v>21</v>
      </c>
      <c r="B6" s="4" t="s">
        <v>19</v>
      </c>
      <c r="C6" s="13" t="s">
        <v>89</v>
      </c>
      <c r="D6" s="19" t="s">
        <v>348</v>
      </c>
      <c r="E6" s="16">
        <v>30</v>
      </c>
      <c r="F6" s="16">
        <v>139</v>
      </c>
      <c r="G6" s="16">
        <v>236</v>
      </c>
      <c r="H6" s="16">
        <v>317</v>
      </c>
      <c r="I6" s="16">
        <v>348</v>
      </c>
      <c r="J6" s="16">
        <v>350</v>
      </c>
      <c r="K6" s="16">
        <v>350</v>
      </c>
      <c r="L6" s="15" t="s">
        <v>125</v>
      </c>
      <c r="M6" s="13" t="s">
        <v>125</v>
      </c>
      <c r="N6" s="3"/>
    </row>
    <row r="7" spans="1:14" x14ac:dyDescent="0.2">
      <c r="B7" s="4" t="s">
        <v>22</v>
      </c>
      <c r="C7" s="13" t="s">
        <v>90</v>
      </c>
      <c r="D7" s="19" t="s">
        <v>349</v>
      </c>
      <c r="E7" s="17">
        <v>0</v>
      </c>
      <c r="F7" s="17">
        <v>1.04</v>
      </c>
      <c r="G7" s="17">
        <v>2.2000000000000002</v>
      </c>
      <c r="H7" s="17">
        <v>3.62</v>
      </c>
      <c r="I7" s="17">
        <v>6.1</v>
      </c>
      <c r="J7" s="16">
        <v>12</v>
      </c>
      <c r="K7" s="16">
        <v>15</v>
      </c>
      <c r="L7" s="15" t="s">
        <v>125</v>
      </c>
      <c r="M7" s="13" t="s">
        <v>125</v>
      </c>
    </row>
    <row r="8" spans="1:14" x14ac:dyDescent="0.2">
      <c r="A8" s="4" t="s">
        <v>23</v>
      </c>
      <c r="B8" s="4" t="s">
        <v>19</v>
      </c>
      <c r="C8" s="13" t="s">
        <v>91</v>
      </c>
      <c r="D8" s="19" t="s">
        <v>350</v>
      </c>
      <c r="E8" s="16">
        <v>30</v>
      </c>
      <c r="F8" s="16">
        <v>210</v>
      </c>
      <c r="G8" s="16">
        <v>400</v>
      </c>
      <c r="H8" s="16">
        <v>480</v>
      </c>
      <c r="I8" s="16">
        <v>500</v>
      </c>
      <c r="J8" s="16">
        <v>500</v>
      </c>
      <c r="K8" s="16">
        <v>500</v>
      </c>
      <c r="L8" s="15" t="s">
        <v>125</v>
      </c>
      <c r="M8" s="13" t="s">
        <v>125</v>
      </c>
    </row>
    <row r="9" spans="1:14" x14ac:dyDescent="0.2">
      <c r="B9" s="4" t="s">
        <v>22</v>
      </c>
      <c r="C9" s="13" t="s">
        <v>92</v>
      </c>
      <c r="D9" s="19" t="s">
        <v>351</v>
      </c>
      <c r="E9" s="17">
        <v>0</v>
      </c>
      <c r="F9" s="17">
        <v>0.76</v>
      </c>
      <c r="G9" s="17">
        <v>2.08</v>
      </c>
      <c r="H9" s="17">
        <v>3.88</v>
      </c>
      <c r="I9" s="17">
        <v>7.4</v>
      </c>
      <c r="J9" s="16">
        <v>12</v>
      </c>
      <c r="K9" s="16">
        <v>15</v>
      </c>
      <c r="L9" s="15" t="s">
        <v>125</v>
      </c>
      <c r="M9" s="13" t="s">
        <v>125</v>
      </c>
    </row>
    <row r="10" spans="1:14" x14ac:dyDescent="0.2">
      <c r="A10" s="4" t="s">
        <v>162</v>
      </c>
      <c r="B10" s="4" t="s">
        <v>19</v>
      </c>
      <c r="C10" s="13" t="s">
        <v>93</v>
      </c>
      <c r="D10" s="19" t="s">
        <v>352</v>
      </c>
      <c r="E10" s="16">
        <v>30</v>
      </c>
      <c r="F10" s="16">
        <v>139</v>
      </c>
      <c r="G10" s="16">
        <v>236</v>
      </c>
      <c r="H10" s="16">
        <v>317</v>
      </c>
      <c r="I10" s="16">
        <v>348</v>
      </c>
      <c r="J10" s="16">
        <v>350</v>
      </c>
      <c r="K10" s="16">
        <v>350</v>
      </c>
      <c r="L10" s="15" t="s">
        <v>125</v>
      </c>
      <c r="M10" s="13" t="s">
        <v>125</v>
      </c>
    </row>
    <row r="11" spans="1:14" x14ac:dyDescent="0.2">
      <c r="B11" s="4" t="s">
        <v>22</v>
      </c>
      <c r="C11" s="13" t="s">
        <v>94</v>
      </c>
      <c r="D11" s="19" t="s">
        <v>353</v>
      </c>
      <c r="E11" s="17">
        <v>0</v>
      </c>
      <c r="F11" s="17">
        <v>1.4</v>
      </c>
      <c r="G11" s="17">
        <v>2.57</v>
      </c>
      <c r="H11" s="17">
        <v>4.0999999999999996</v>
      </c>
      <c r="I11" s="17">
        <v>6.1</v>
      </c>
      <c r="J11" s="16">
        <v>12</v>
      </c>
      <c r="K11" s="16">
        <v>15</v>
      </c>
      <c r="L11" s="15" t="s">
        <v>125</v>
      </c>
      <c r="M11" s="13" t="s">
        <v>125</v>
      </c>
    </row>
    <row r="12" spans="1:14" x14ac:dyDescent="0.2">
      <c r="A12" s="4" t="s">
        <v>163</v>
      </c>
      <c r="B12" s="4" t="s">
        <v>19</v>
      </c>
      <c r="C12" s="13" t="s">
        <v>95</v>
      </c>
      <c r="D12" s="19" t="s">
        <v>354</v>
      </c>
      <c r="E12" s="16">
        <v>30</v>
      </c>
      <c r="F12" s="16">
        <v>63</v>
      </c>
      <c r="G12" s="16">
        <v>102</v>
      </c>
      <c r="H12" s="16">
        <v>132</v>
      </c>
      <c r="I12" s="16">
        <v>140</v>
      </c>
      <c r="J12" s="16">
        <v>144</v>
      </c>
      <c r="K12" s="16">
        <v>144</v>
      </c>
      <c r="L12" s="15" t="s">
        <v>125</v>
      </c>
      <c r="M12" s="13" t="s">
        <v>125</v>
      </c>
    </row>
    <row r="13" spans="1:14" x14ac:dyDescent="0.2">
      <c r="B13" s="4" t="s">
        <v>22</v>
      </c>
      <c r="C13" s="13" t="s">
        <v>96</v>
      </c>
      <c r="D13" s="19" t="s">
        <v>355</v>
      </c>
      <c r="E13" s="17">
        <v>0</v>
      </c>
      <c r="F13" s="17">
        <v>1.4</v>
      </c>
      <c r="G13" s="17">
        <v>2.89</v>
      </c>
      <c r="H13" s="17">
        <v>4.63</v>
      </c>
      <c r="I13" s="17">
        <v>7</v>
      </c>
      <c r="J13" s="16">
        <v>12</v>
      </c>
      <c r="K13" s="16">
        <v>15</v>
      </c>
      <c r="L13" s="15" t="s">
        <v>125</v>
      </c>
      <c r="M13" s="13" t="s">
        <v>125</v>
      </c>
    </row>
    <row r="14" spans="1:14" x14ac:dyDescent="0.2">
      <c r="A14" s="4" t="s">
        <v>26</v>
      </c>
      <c r="C14" s="13" t="s">
        <v>97</v>
      </c>
      <c r="D14" s="19" t="s">
        <v>356</v>
      </c>
      <c r="E14" s="13">
        <v>128</v>
      </c>
      <c r="F14" s="13">
        <v>128</v>
      </c>
      <c r="G14" s="13">
        <v>10</v>
      </c>
      <c r="H14" s="13">
        <v>10</v>
      </c>
      <c r="I14" s="15" t="s">
        <v>125</v>
      </c>
      <c r="J14" s="15" t="s">
        <v>125</v>
      </c>
      <c r="K14" s="15" t="s">
        <v>125</v>
      </c>
      <c r="L14" s="15" t="s">
        <v>125</v>
      </c>
      <c r="M14" s="13" t="s">
        <v>125</v>
      </c>
    </row>
    <row r="15" spans="1:14" x14ac:dyDescent="0.2">
      <c r="A15" s="4" t="s">
        <v>27</v>
      </c>
      <c r="B15" s="4" t="s">
        <v>22</v>
      </c>
      <c r="C15" s="13" t="s">
        <v>98</v>
      </c>
      <c r="D15" s="19" t="s">
        <v>357</v>
      </c>
      <c r="E15" s="13">
        <v>0</v>
      </c>
      <c r="F15" s="15">
        <v>6.25E-2</v>
      </c>
      <c r="G15" s="13">
        <v>0.625</v>
      </c>
      <c r="H15" s="13">
        <v>1.125</v>
      </c>
      <c r="I15" s="15" t="s">
        <v>125</v>
      </c>
      <c r="J15" s="15" t="s">
        <v>125</v>
      </c>
      <c r="K15" s="15" t="s">
        <v>125</v>
      </c>
      <c r="L15" s="15" t="s">
        <v>125</v>
      </c>
      <c r="M15" s="13" t="s">
        <v>125</v>
      </c>
    </row>
    <row r="16" spans="1:14" x14ac:dyDescent="0.2">
      <c r="C16" s="13" t="s">
        <v>119</v>
      </c>
      <c r="D16" s="19" t="s">
        <v>358</v>
      </c>
      <c r="E16" s="13">
        <v>0.2</v>
      </c>
      <c r="F16" s="13">
        <v>0.3</v>
      </c>
      <c r="G16" s="13">
        <v>0.4</v>
      </c>
      <c r="H16" s="13">
        <v>0.5</v>
      </c>
      <c r="I16" s="13">
        <v>0.6</v>
      </c>
      <c r="J16" s="13">
        <v>0.7</v>
      </c>
      <c r="K16" s="13">
        <v>0.8</v>
      </c>
      <c r="L16" s="13" t="s">
        <v>125</v>
      </c>
      <c r="M16" s="13" t="s">
        <v>125</v>
      </c>
    </row>
    <row r="17" spans="1:13" x14ac:dyDescent="0.2">
      <c r="A17" s="6" t="s">
        <v>123</v>
      </c>
      <c r="B17" s="4" t="s">
        <v>19</v>
      </c>
      <c r="C17" s="13" t="s">
        <v>120</v>
      </c>
      <c r="D17" s="19" t="s">
        <v>359</v>
      </c>
      <c r="E17" s="13">
        <v>120</v>
      </c>
      <c r="F17" s="13">
        <v>182.5</v>
      </c>
      <c r="G17" s="13">
        <v>182.5</v>
      </c>
      <c r="H17" s="13">
        <v>365</v>
      </c>
      <c r="I17" s="13">
        <v>547.5</v>
      </c>
      <c r="J17" s="13">
        <v>547.5</v>
      </c>
      <c r="K17" s="13">
        <v>547.5</v>
      </c>
      <c r="L17" s="13" t="s">
        <v>125</v>
      </c>
      <c r="M17" s="13" t="s">
        <v>125</v>
      </c>
    </row>
    <row r="18" spans="1:13" x14ac:dyDescent="0.2">
      <c r="C18" s="13" t="s">
        <v>121</v>
      </c>
      <c r="D18" s="19" t="s">
        <v>360</v>
      </c>
      <c r="E18" s="13">
        <v>0.2</v>
      </c>
      <c r="F18" s="13">
        <v>0.3</v>
      </c>
      <c r="G18" s="13">
        <v>0.4</v>
      </c>
      <c r="H18" s="13">
        <v>0.5</v>
      </c>
      <c r="I18" s="13">
        <v>0.6</v>
      </c>
      <c r="J18" s="13">
        <v>0.7</v>
      </c>
      <c r="K18" s="13">
        <v>0.8</v>
      </c>
      <c r="L18" s="13" t="s">
        <v>125</v>
      </c>
      <c r="M18" s="13" t="s">
        <v>125</v>
      </c>
    </row>
    <row r="19" spans="1:13" x14ac:dyDescent="0.2">
      <c r="A19" s="4" t="s">
        <v>124</v>
      </c>
      <c r="B19" s="4" t="s">
        <v>19</v>
      </c>
      <c r="C19" s="13" t="s">
        <v>122</v>
      </c>
      <c r="D19" s="19" t="s">
        <v>361</v>
      </c>
      <c r="E19" s="13">
        <v>182.5</v>
      </c>
      <c r="F19" s="13">
        <v>182.5</v>
      </c>
      <c r="G19" s="13">
        <v>365</v>
      </c>
      <c r="H19" s="13">
        <v>547.5</v>
      </c>
      <c r="I19" s="13">
        <v>730</v>
      </c>
      <c r="J19" s="13">
        <v>730</v>
      </c>
      <c r="K19" s="13">
        <v>730</v>
      </c>
      <c r="L19" s="13" t="s">
        <v>125</v>
      </c>
      <c r="M19" s="13" t="s">
        <v>125</v>
      </c>
    </row>
    <row r="20" spans="1:13" x14ac:dyDescent="0.2">
      <c r="A20" s="4" t="s">
        <v>28</v>
      </c>
      <c r="B20" s="4" t="s">
        <v>15</v>
      </c>
      <c r="C20" s="13" t="s">
        <v>99</v>
      </c>
      <c r="D20" s="19" t="s">
        <v>362</v>
      </c>
      <c r="E20" s="16">
        <v>282</v>
      </c>
      <c r="F20" s="15" t="s">
        <v>125</v>
      </c>
      <c r="G20" s="15" t="s">
        <v>125</v>
      </c>
      <c r="H20" s="15" t="s">
        <v>125</v>
      </c>
      <c r="I20" s="15" t="s">
        <v>125</v>
      </c>
      <c r="J20" s="15" t="s">
        <v>125</v>
      </c>
      <c r="K20" s="15" t="s">
        <v>125</v>
      </c>
      <c r="L20" s="15" t="s">
        <v>125</v>
      </c>
      <c r="M20" s="13" t="s">
        <v>125</v>
      </c>
    </row>
    <row r="21" spans="1:13" x14ac:dyDescent="0.2">
      <c r="A21" s="4" t="s">
        <v>29</v>
      </c>
      <c r="C21" s="13" t="s">
        <v>100</v>
      </c>
      <c r="D21" s="19" t="s">
        <v>29</v>
      </c>
      <c r="E21" s="16">
        <v>1</v>
      </c>
      <c r="F21" s="15" t="s">
        <v>125</v>
      </c>
      <c r="G21" s="15" t="s">
        <v>125</v>
      </c>
      <c r="H21" s="15" t="s">
        <v>125</v>
      </c>
      <c r="I21" s="15" t="s">
        <v>125</v>
      </c>
      <c r="J21" s="15" t="s">
        <v>125</v>
      </c>
      <c r="K21" s="15" t="s">
        <v>125</v>
      </c>
      <c r="L21" s="15" t="s">
        <v>125</v>
      </c>
      <c r="M21" s="13" t="s">
        <v>125</v>
      </c>
    </row>
    <row r="22" spans="1:13" x14ac:dyDescent="0.2">
      <c r="A22" s="4" t="s">
        <v>30</v>
      </c>
      <c r="C22" s="13" t="s">
        <v>101</v>
      </c>
      <c r="D22" s="19" t="s">
        <v>363</v>
      </c>
      <c r="E22" s="18">
        <v>0.75</v>
      </c>
      <c r="F22" s="18">
        <v>1</v>
      </c>
      <c r="G22" s="18">
        <v>1</v>
      </c>
      <c r="H22" s="18">
        <v>0.85</v>
      </c>
      <c r="I22" s="15">
        <v>0</v>
      </c>
      <c r="J22" s="15" t="s">
        <v>125</v>
      </c>
      <c r="K22" s="15" t="s">
        <v>125</v>
      </c>
      <c r="L22" s="15" t="s">
        <v>125</v>
      </c>
      <c r="M22" s="13" t="s">
        <v>125</v>
      </c>
    </row>
    <row r="23" spans="1:13" x14ac:dyDescent="0.2">
      <c r="A23" s="4" t="s">
        <v>31</v>
      </c>
      <c r="C23" s="13" t="s">
        <v>102</v>
      </c>
      <c r="D23" s="19" t="s">
        <v>364</v>
      </c>
      <c r="E23" s="17">
        <v>2.7</v>
      </c>
      <c r="F23" s="17">
        <v>5</v>
      </c>
      <c r="G23" s="17">
        <v>9</v>
      </c>
      <c r="H23" s="17">
        <v>10</v>
      </c>
      <c r="I23" s="15">
        <v>15</v>
      </c>
      <c r="J23" s="15" t="s">
        <v>125</v>
      </c>
      <c r="K23" s="15" t="s">
        <v>125</v>
      </c>
      <c r="L23" s="15" t="s">
        <v>125</v>
      </c>
      <c r="M23" s="13" t="s">
        <v>125</v>
      </c>
    </row>
    <row r="24" spans="1:13" x14ac:dyDescent="0.2">
      <c r="A24" s="4" t="s">
        <v>32</v>
      </c>
      <c r="C24" s="13" t="s">
        <v>103</v>
      </c>
      <c r="D24" s="19" t="s">
        <v>365</v>
      </c>
      <c r="E24" s="16">
        <v>260</v>
      </c>
      <c r="F24" s="16">
        <v>193</v>
      </c>
      <c r="G24" s="16">
        <v>137</v>
      </c>
      <c r="H24" s="16">
        <v>140</v>
      </c>
      <c r="I24" s="16">
        <v>144</v>
      </c>
      <c r="J24" s="16">
        <v>144</v>
      </c>
      <c r="K24" s="16">
        <v>144</v>
      </c>
      <c r="L24" s="16" t="s">
        <v>125</v>
      </c>
      <c r="M24" s="13" t="s">
        <v>125</v>
      </c>
    </row>
    <row r="25" spans="1:13" x14ac:dyDescent="0.2">
      <c r="B25" s="4" t="s">
        <v>22</v>
      </c>
      <c r="C25" s="13" t="s">
        <v>104</v>
      </c>
      <c r="D25" s="19" t="s">
        <v>140</v>
      </c>
      <c r="E25" s="17">
        <v>2.65</v>
      </c>
      <c r="F25" s="17">
        <v>3.4</v>
      </c>
      <c r="G25" s="17">
        <v>5.8</v>
      </c>
      <c r="H25" s="17">
        <v>7</v>
      </c>
      <c r="I25" s="17">
        <v>12</v>
      </c>
      <c r="J25" s="17">
        <v>13</v>
      </c>
      <c r="K25" s="15">
        <v>15</v>
      </c>
      <c r="L25" s="17" t="s">
        <v>125</v>
      </c>
      <c r="M25" s="13" t="s">
        <v>125</v>
      </c>
    </row>
    <row r="26" spans="1:13" x14ac:dyDescent="0.2">
      <c r="A26" s="4" t="s">
        <v>33</v>
      </c>
      <c r="C26" s="13" t="s">
        <v>105</v>
      </c>
      <c r="D26" s="19" t="s">
        <v>366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7">
        <v>0</v>
      </c>
      <c r="K26" s="17">
        <v>0</v>
      </c>
      <c r="L26" s="17">
        <v>1</v>
      </c>
      <c r="M26" s="13" t="s">
        <v>125</v>
      </c>
    </row>
    <row r="27" spans="1:13" x14ac:dyDescent="0.2">
      <c r="A27" s="4" t="s">
        <v>34</v>
      </c>
      <c r="C27" s="13" t="s">
        <v>106</v>
      </c>
      <c r="D27" s="19" t="s">
        <v>367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7">
        <v>0</v>
      </c>
      <c r="K27" s="17">
        <v>0</v>
      </c>
      <c r="L27" s="17">
        <v>1</v>
      </c>
      <c r="M27" s="13" t="s">
        <v>125</v>
      </c>
    </row>
    <row r="28" spans="1:13" x14ac:dyDescent="0.2">
      <c r="A28" s="4" t="s">
        <v>35</v>
      </c>
      <c r="B28" s="4" t="s">
        <v>22</v>
      </c>
      <c r="C28" s="13" t="s">
        <v>107</v>
      </c>
      <c r="D28" s="19" t="s">
        <v>385</v>
      </c>
      <c r="E28" s="16">
        <v>0</v>
      </c>
      <c r="F28" s="16">
        <v>1</v>
      </c>
      <c r="G28" s="16">
        <v>2</v>
      </c>
      <c r="H28" s="16">
        <v>3</v>
      </c>
      <c r="I28" s="16">
        <v>4</v>
      </c>
      <c r="J28" s="16">
        <v>5</v>
      </c>
      <c r="K28" s="16">
        <v>12</v>
      </c>
      <c r="L28" s="16">
        <v>20</v>
      </c>
      <c r="M28" s="13" t="s">
        <v>125</v>
      </c>
    </row>
    <row r="29" spans="1:13" x14ac:dyDescent="0.2">
      <c r="A29" s="4" t="s">
        <v>36</v>
      </c>
      <c r="C29" s="13" t="s">
        <v>108</v>
      </c>
      <c r="D29" s="19" t="s">
        <v>368</v>
      </c>
      <c r="E29" s="17">
        <v>12</v>
      </c>
      <c r="F29" s="13" t="s">
        <v>125</v>
      </c>
      <c r="G29" s="13" t="s">
        <v>125</v>
      </c>
      <c r="H29" s="13" t="s">
        <v>125</v>
      </c>
      <c r="I29" s="17" t="s">
        <v>125</v>
      </c>
      <c r="J29" s="13" t="s">
        <v>125</v>
      </c>
      <c r="K29" s="13" t="s">
        <v>125</v>
      </c>
      <c r="L29" s="13" t="s">
        <v>125</v>
      </c>
      <c r="M29" s="13" t="s">
        <v>125</v>
      </c>
    </row>
    <row r="30" spans="1:13" x14ac:dyDescent="0.2">
      <c r="C30" s="13" t="s">
        <v>109</v>
      </c>
      <c r="D30" s="19" t="s">
        <v>248</v>
      </c>
      <c r="E30" s="17">
        <v>142</v>
      </c>
      <c r="F30" s="13" t="s">
        <v>125</v>
      </c>
      <c r="G30" s="13" t="s">
        <v>125</v>
      </c>
      <c r="H30" s="13" t="s">
        <v>125</v>
      </c>
      <c r="I30" s="17" t="s">
        <v>125</v>
      </c>
      <c r="J30" s="13" t="s">
        <v>125</v>
      </c>
      <c r="K30" s="13" t="s">
        <v>125</v>
      </c>
      <c r="L30" s="13" t="s">
        <v>125</v>
      </c>
      <c r="M30" s="13" t="s">
        <v>125</v>
      </c>
    </row>
    <row r="31" spans="1:13" x14ac:dyDescent="0.2">
      <c r="C31" s="13" t="s">
        <v>110</v>
      </c>
      <c r="D31" s="19" t="s">
        <v>246</v>
      </c>
      <c r="E31" s="17">
        <v>19.600000000000001</v>
      </c>
      <c r="F31" s="13" t="s">
        <v>125</v>
      </c>
      <c r="G31" s="13" t="s">
        <v>125</v>
      </c>
      <c r="H31" s="13" t="s">
        <v>125</v>
      </c>
      <c r="I31" s="17" t="s">
        <v>125</v>
      </c>
      <c r="J31" s="13" t="s">
        <v>125</v>
      </c>
      <c r="K31" s="13" t="s">
        <v>125</v>
      </c>
      <c r="L31" s="13" t="s">
        <v>125</v>
      </c>
      <c r="M31" s="13" t="s">
        <v>125</v>
      </c>
    </row>
    <row r="32" spans="1:13" x14ac:dyDescent="0.2">
      <c r="A32" s="4" t="s">
        <v>4</v>
      </c>
      <c r="C32" s="13" t="s">
        <v>111</v>
      </c>
      <c r="D32" s="19" t="s">
        <v>369</v>
      </c>
      <c r="E32" s="17">
        <v>3.7</v>
      </c>
      <c r="F32" s="13" t="s">
        <v>125</v>
      </c>
      <c r="G32" s="13" t="s">
        <v>125</v>
      </c>
      <c r="H32" s="13" t="s">
        <v>125</v>
      </c>
      <c r="I32" s="13" t="s">
        <v>125</v>
      </c>
      <c r="J32" s="13" t="s">
        <v>125</v>
      </c>
      <c r="K32" s="13" t="s">
        <v>125</v>
      </c>
      <c r="L32" s="13" t="s">
        <v>125</v>
      </c>
      <c r="M32" s="13" t="s">
        <v>125</v>
      </c>
    </row>
    <row r="33" spans="1:16" x14ac:dyDescent="0.2">
      <c r="A33" s="4" t="s">
        <v>37</v>
      </c>
      <c r="B33" s="4" t="s">
        <v>38</v>
      </c>
      <c r="C33" s="13" t="s">
        <v>112</v>
      </c>
      <c r="D33" s="19" t="s">
        <v>370</v>
      </c>
      <c r="E33" s="17">
        <v>2200</v>
      </c>
      <c r="F33" s="17">
        <v>2200</v>
      </c>
      <c r="G33" s="17">
        <v>1250</v>
      </c>
      <c r="H33" s="13">
        <v>0</v>
      </c>
      <c r="I33" s="13" t="s">
        <v>125</v>
      </c>
      <c r="J33" s="13" t="s">
        <v>125</v>
      </c>
      <c r="K33" s="13" t="s">
        <v>125</v>
      </c>
      <c r="L33" s="13" t="s">
        <v>125</v>
      </c>
      <c r="M33" s="13" t="s">
        <v>125</v>
      </c>
    </row>
    <row r="34" spans="1:16" x14ac:dyDescent="0.2">
      <c r="A34" s="4" t="s">
        <v>39</v>
      </c>
      <c r="B34" s="4" t="s">
        <v>22</v>
      </c>
      <c r="C34" s="13" t="s">
        <v>113</v>
      </c>
      <c r="D34" s="19" t="s">
        <v>371</v>
      </c>
      <c r="E34" s="17">
        <v>0</v>
      </c>
      <c r="F34" s="17">
        <v>0.16666666666666666</v>
      </c>
      <c r="G34" s="17">
        <v>0.75</v>
      </c>
      <c r="H34" s="17">
        <v>1.5</v>
      </c>
      <c r="I34" s="13" t="s">
        <v>125</v>
      </c>
      <c r="J34" s="13" t="s">
        <v>125</v>
      </c>
      <c r="K34" s="13" t="s">
        <v>125</v>
      </c>
      <c r="L34" s="13" t="s">
        <v>125</v>
      </c>
      <c r="M34" s="13" t="s">
        <v>125</v>
      </c>
    </row>
    <row r="35" spans="1:16" x14ac:dyDescent="0.2">
      <c r="A35" s="4" t="s">
        <v>40</v>
      </c>
      <c r="C35" s="13" t="s">
        <v>114</v>
      </c>
      <c r="D35" s="19" t="s">
        <v>372</v>
      </c>
      <c r="E35" s="17">
        <v>40.5</v>
      </c>
      <c r="F35" s="17">
        <v>48</v>
      </c>
      <c r="G35" s="17">
        <v>55.5</v>
      </c>
      <c r="H35" s="17">
        <v>60</v>
      </c>
      <c r="I35" s="17">
        <v>63</v>
      </c>
      <c r="J35" s="13" t="s">
        <v>125</v>
      </c>
      <c r="K35" s="13" t="s">
        <v>125</v>
      </c>
      <c r="L35" s="13" t="s">
        <v>125</v>
      </c>
      <c r="M35" s="13" t="s">
        <v>125</v>
      </c>
    </row>
    <row r="36" spans="1:16" x14ac:dyDescent="0.2">
      <c r="A36" s="4" t="s">
        <v>41</v>
      </c>
      <c r="B36" s="4" t="s">
        <v>22</v>
      </c>
      <c r="C36" s="13" t="s">
        <v>115</v>
      </c>
      <c r="D36" s="19" t="s">
        <v>373</v>
      </c>
      <c r="E36" s="17">
        <v>0</v>
      </c>
      <c r="F36" s="17">
        <f>3/12</f>
        <v>0.25</v>
      </c>
      <c r="G36" s="17">
        <f>6/12</f>
        <v>0.5</v>
      </c>
      <c r="H36" s="17">
        <f>10/12</f>
        <v>0.83333333333333337</v>
      </c>
      <c r="I36" s="17">
        <f>18/12</f>
        <v>1.5</v>
      </c>
      <c r="J36" s="13" t="s">
        <v>125</v>
      </c>
      <c r="K36" s="13" t="s">
        <v>125</v>
      </c>
      <c r="L36" s="13" t="s">
        <v>125</v>
      </c>
      <c r="M36" s="13" t="s">
        <v>125</v>
      </c>
    </row>
    <row r="37" spans="1:16" x14ac:dyDescent="0.2">
      <c r="A37" s="6" t="s">
        <v>42</v>
      </c>
      <c r="C37" s="13" t="s">
        <v>116</v>
      </c>
      <c r="D37" s="32" t="s">
        <v>388</v>
      </c>
      <c r="E37" s="17">
        <v>0.8</v>
      </c>
      <c r="F37" s="17">
        <v>0.8</v>
      </c>
      <c r="G37" s="17">
        <v>1</v>
      </c>
      <c r="H37" s="17">
        <v>1</v>
      </c>
      <c r="I37" s="17">
        <v>0.6</v>
      </c>
      <c r="J37" s="13">
        <v>0.3</v>
      </c>
      <c r="K37" s="13" t="s">
        <v>125</v>
      </c>
      <c r="L37" s="13" t="s">
        <v>125</v>
      </c>
      <c r="M37" s="13" t="s">
        <v>125</v>
      </c>
    </row>
    <row r="38" spans="1:16" x14ac:dyDescent="0.2">
      <c r="A38" s="6" t="s">
        <v>43</v>
      </c>
      <c r="C38" s="13" t="s">
        <v>117</v>
      </c>
      <c r="D38" s="19" t="s">
        <v>374</v>
      </c>
      <c r="E38" s="17">
        <v>3.4</v>
      </c>
      <c r="F38" s="16">
        <v>4.5</v>
      </c>
      <c r="G38" s="16">
        <v>5.5</v>
      </c>
      <c r="H38" s="16">
        <v>8</v>
      </c>
      <c r="I38" s="16">
        <v>15</v>
      </c>
      <c r="J38" s="16">
        <v>20</v>
      </c>
      <c r="K38" s="13" t="s">
        <v>125</v>
      </c>
      <c r="L38" s="13" t="s">
        <v>125</v>
      </c>
      <c r="M38" s="13" t="s">
        <v>125</v>
      </c>
    </row>
    <row r="39" spans="1:16" x14ac:dyDescent="0.2">
      <c r="A39" s="6" t="s">
        <v>126</v>
      </c>
      <c r="C39" s="13" t="s">
        <v>130</v>
      </c>
      <c r="D39" s="19" t="s">
        <v>375</v>
      </c>
      <c r="E39" s="17">
        <v>15</v>
      </c>
      <c r="F39" s="17" t="s">
        <v>125</v>
      </c>
      <c r="G39" s="17" t="s">
        <v>125</v>
      </c>
      <c r="H39" s="17" t="s">
        <v>125</v>
      </c>
      <c r="I39" s="17" t="s">
        <v>125</v>
      </c>
      <c r="J39" s="13" t="s">
        <v>125</v>
      </c>
      <c r="K39" s="13" t="s">
        <v>125</v>
      </c>
      <c r="L39" s="13" t="s">
        <v>125</v>
      </c>
      <c r="M39" s="13" t="s">
        <v>125</v>
      </c>
    </row>
    <row r="40" spans="1:16" x14ac:dyDescent="0.2">
      <c r="C40" s="13" t="s">
        <v>118</v>
      </c>
      <c r="D40" s="19" t="s">
        <v>376</v>
      </c>
      <c r="E40" s="17">
        <v>3</v>
      </c>
      <c r="F40" s="17" t="s">
        <v>125</v>
      </c>
      <c r="G40" s="17" t="s">
        <v>125</v>
      </c>
      <c r="H40" s="17" t="s">
        <v>125</v>
      </c>
      <c r="I40" s="17" t="s">
        <v>125</v>
      </c>
      <c r="J40" s="17" t="s">
        <v>125</v>
      </c>
      <c r="K40" s="17" t="s">
        <v>125</v>
      </c>
      <c r="L40" s="17" t="s">
        <v>125</v>
      </c>
      <c r="M40" s="17" t="s">
        <v>125</v>
      </c>
    </row>
    <row r="41" spans="1:16" x14ac:dyDescent="0.2">
      <c r="A41" s="6" t="s">
        <v>136</v>
      </c>
      <c r="B41" s="4" t="s">
        <v>135</v>
      </c>
      <c r="C41" s="13" t="s">
        <v>134</v>
      </c>
      <c r="D41" s="19" t="s">
        <v>275</v>
      </c>
      <c r="E41" s="17">
        <v>1</v>
      </c>
      <c r="F41" s="17" t="s">
        <v>125</v>
      </c>
      <c r="G41" s="17" t="s">
        <v>125</v>
      </c>
      <c r="H41" s="17" t="s">
        <v>125</v>
      </c>
      <c r="I41" s="17" t="s">
        <v>125</v>
      </c>
      <c r="J41" s="17" t="s">
        <v>125</v>
      </c>
      <c r="K41" s="17" t="s">
        <v>125</v>
      </c>
      <c r="L41" s="17" t="s">
        <v>125</v>
      </c>
      <c r="M41" s="17" t="s">
        <v>125</v>
      </c>
    </row>
    <row r="42" spans="1:16" x14ac:dyDescent="0.2">
      <c r="A42" s="6" t="s">
        <v>151</v>
      </c>
      <c r="C42" s="13" t="s">
        <v>147</v>
      </c>
      <c r="D42" s="19" t="s">
        <v>377</v>
      </c>
      <c r="E42" s="17">
        <v>1.1000000000000001</v>
      </c>
      <c r="F42" s="13">
        <v>1.35</v>
      </c>
      <c r="G42" s="13">
        <v>1.286</v>
      </c>
      <c r="H42" s="13">
        <v>1.2</v>
      </c>
      <c r="I42" s="17">
        <v>1</v>
      </c>
      <c r="J42" s="17" t="s">
        <v>125</v>
      </c>
      <c r="K42" s="17" t="s">
        <v>125</v>
      </c>
      <c r="L42" s="17" t="s">
        <v>125</v>
      </c>
      <c r="M42" s="17" t="s">
        <v>125</v>
      </c>
      <c r="P42">
        <f>0.65*300</f>
        <v>195</v>
      </c>
    </row>
    <row r="43" spans="1:16" x14ac:dyDescent="0.2">
      <c r="A43" s="6"/>
    </row>
  </sheetData>
  <phoneticPr fontId="8" type="noConversion"/>
  <pageMargins left="0.75" right="0.75" top="1" bottom="1" header="0.5" footer="0.5"/>
  <headerFooter alignWithMargins="0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FH138"/>
  <sheetViews>
    <sheetView tabSelected="1" workbookViewId="0">
      <selection activeCell="L4" sqref="L4"/>
    </sheetView>
  </sheetViews>
  <sheetFormatPr defaultColWidth="11.42578125" defaultRowHeight="12.75" x14ac:dyDescent="0.2"/>
  <cols>
    <col min="1" max="1" width="33.5703125" style="19" bestFit="1" customWidth="1"/>
    <col min="2" max="2" width="8.7109375" style="19" bestFit="1" customWidth="1"/>
    <col min="3" max="3" width="25.140625" style="19" bestFit="1" customWidth="1"/>
    <col min="4" max="4" width="15.7109375" style="19" bestFit="1" customWidth="1"/>
    <col min="5" max="9" width="11.42578125" style="19" customWidth="1"/>
    <col min="10" max="10" width="11.42578125" style="21" customWidth="1"/>
    <col min="11" max="11" width="11.42578125" style="20" customWidth="1"/>
    <col min="12" max="12" width="9.28515625" style="20" customWidth="1"/>
    <col min="13" max="80" width="11.42578125" style="20"/>
    <col min="81" max="16384" width="11.42578125" style="21"/>
  </cols>
  <sheetData>
    <row r="1" spans="1:164" x14ac:dyDescent="0.2">
      <c r="B1" s="14" t="s">
        <v>11</v>
      </c>
      <c r="C1" s="14"/>
      <c r="D1" s="14" t="s">
        <v>44</v>
      </c>
      <c r="E1" s="14" t="s">
        <v>172</v>
      </c>
      <c r="F1" s="14"/>
      <c r="G1" s="14"/>
      <c r="H1" s="14"/>
      <c r="I1" s="14"/>
      <c r="J1" s="20"/>
    </row>
    <row r="2" spans="1:164" x14ac:dyDescent="0.2">
      <c r="A2" s="19" t="s">
        <v>45</v>
      </c>
      <c r="C2" s="19" t="s">
        <v>216</v>
      </c>
      <c r="D2" s="20" t="s">
        <v>339</v>
      </c>
      <c r="E2" s="84">
        <v>1</v>
      </c>
      <c r="F2" s="19">
        <v>1</v>
      </c>
      <c r="G2" s="19">
        <v>1</v>
      </c>
      <c r="H2" s="84">
        <v>1</v>
      </c>
      <c r="I2" s="19">
        <v>1</v>
      </c>
      <c r="J2" s="19">
        <v>1</v>
      </c>
      <c r="K2" s="84">
        <v>1</v>
      </c>
      <c r="L2" s="19"/>
      <c r="M2" s="19"/>
    </row>
    <row r="3" spans="1:164" x14ac:dyDescent="0.2">
      <c r="A3" s="19" t="s">
        <v>46</v>
      </c>
      <c r="C3" s="19" t="s">
        <v>217</v>
      </c>
      <c r="D3" s="20" t="s">
        <v>338</v>
      </c>
      <c r="E3" s="19">
        <v>1</v>
      </c>
      <c r="F3" s="19">
        <v>2</v>
      </c>
      <c r="G3" s="19">
        <v>3</v>
      </c>
      <c r="H3" s="19">
        <v>4</v>
      </c>
      <c r="I3" s="19">
        <v>5</v>
      </c>
      <c r="J3" s="19">
        <v>6</v>
      </c>
      <c r="K3" s="19">
        <v>7</v>
      </c>
      <c r="L3" s="19"/>
      <c r="M3" s="19"/>
    </row>
    <row r="4" spans="1:164" x14ac:dyDescent="0.2">
      <c r="A4" s="19" t="s">
        <v>47</v>
      </c>
      <c r="C4" s="19" t="s">
        <v>276</v>
      </c>
      <c r="D4" s="20" t="s">
        <v>218</v>
      </c>
      <c r="E4" s="19">
        <v>1</v>
      </c>
      <c r="F4" s="19">
        <v>1</v>
      </c>
      <c r="G4" s="19">
        <v>1</v>
      </c>
      <c r="H4" s="19">
        <v>0</v>
      </c>
      <c r="I4" s="19">
        <v>0</v>
      </c>
      <c r="J4" s="19">
        <v>0</v>
      </c>
      <c r="K4" s="19">
        <v>0</v>
      </c>
      <c r="L4" s="19"/>
      <c r="M4" s="19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</row>
    <row r="5" spans="1:164" x14ac:dyDescent="0.2">
      <c r="A5" s="19" t="s">
        <v>48</v>
      </c>
      <c r="B5" s="19" t="s">
        <v>22</v>
      </c>
      <c r="C5" s="19" t="s">
        <v>277</v>
      </c>
      <c r="D5" s="20" t="s">
        <v>140</v>
      </c>
      <c r="E5" s="85">
        <v>0</v>
      </c>
      <c r="F5" s="24">
        <v>0</v>
      </c>
      <c r="G5" s="24">
        <v>0</v>
      </c>
      <c r="H5" s="85">
        <v>0</v>
      </c>
      <c r="I5" s="24">
        <v>0</v>
      </c>
      <c r="J5" s="24">
        <v>0</v>
      </c>
      <c r="K5" s="85">
        <v>0</v>
      </c>
      <c r="L5" s="24"/>
      <c r="M5" s="2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</row>
    <row r="6" spans="1:164" x14ac:dyDescent="0.2">
      <c r="A6" s="19" t="s">
        <v>49</v>
      </c>
      <c r="C6" s="19" t="s">
        <v>278</v>
      </c>
      <c r="D6" s="20" t="s">
        <v>219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/>
      <c r="M6" s="19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</row>
    <row r="7" spans="1:164" x14ac:dyDescent="0.2">
      <c r="A7" s="19" t="s">
        <v>50</v>
      </c>
      <c r="B7" s="19" t="s">
        <v>19</v>
      </c>
      <c r="C7" s="19" t="s">
        <v>279</v>
      </c>
      <c r="D7" s="20" t="s">
        <v>220</v>
      </c>
      <c r="E7" s="35">
        <v>250</v>
      </c>
      <c r="F7" s="35">
        <v>30</v>
      </c>
      <c r="G7" s="35">
        <v>420</v>
      </c>
      <c r="H7" s="35">
        <v>350</v>
      </c>
      <c r="I7" s="35">
        <v>350</v>
      </c>
      <c r="J7" s="35">
        <v>520</v>
      </c>
      <c r="K7" s="35">
        <v>520</v>
      </c>
      <c r="L7" s="35"/>
      <c r="M7" s="35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6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</row>
    <row r="8" spans="1:164" x14ac:dyDescent="0.2">
      <c r="A8" s="19" t="s">
        <v>51</v>
      </c>
      <c r="B8" s="19" t="s">
        <v>52</v>
      </c>
      <c r="C8" s="19" t="s">
        <v>340</v>
      </c>
      <c r="D8" s="20" t="s">
        <v>341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/>
      <c r="M8" s="19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</row>
    <row r="9" spans="1:164" x14ac:dyDescent="0.2">
      <c r="A9" s="19" t="s">
        <v>53</v>
      </c>
      <c r="C9" s="19" t="s">
        <v>280</v>
      </c>
      <c r="D9" s="20" t="s">
        <v>221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/>
      <c r="M9" s="19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</row>
    <row r="10" spans="1:164" x14ac:dyDescent="0.2">
      <c r="A10" s="19" t="s">
        <v>54</v>
      </c>
      <c r="C10" s="19" t="s">
        <v>281</v>
      </c>
      <c r="D10" s="20" t="s">
        <v>222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/>
      <c r="M10" s="19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</row>
    <row r="11" spans="1:164" x14ac:dyDescent="0.2">
      <c r="A11" s="19" t="s">
        <v>55</v>
      </c>
      <c r="B11" s="19" t="s">
        <v>19</v>
      </c>
      <c r="C11" s="19" t="s">
        <v>282</v>
      </c>
      <c r="D11" s="20" t="s">
        <v>223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/>
      <c r="M11" s="19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</row>
    <row r="12" spans="1:164" x14ac:dyDescent="0.2">
      <c r="A12" s="19" t="s">
        <v>56</v>
      </c>
      <c r="B12" s="19" t="s">
        <v>22</v>
      </c>
      <c r="C12" s="19" t="s">
        <v>283</v>
      </c>
      <c r="D12" s="20" t="s">
        <v>224</v>
      </c>
      <c r="E12" s="19">
        <v>0</v>
      </c>
      <c r="F12" s="19"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/>
      <c r="M12" s="19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</row>
    <row r="13" spans="1:164" x14ac:dyDescent="0.2">
      <c r="A13" s="19" t="s">
        <v>57</v>
      </c>
      <c r="C13" s="19" t="s">
        <v>284</v>
      </c>
      <c r="D13" s="20" t="s">
        <v>225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/>
      <c r="M13" s="19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</row>
    <row r="14" spans="1:164" x14ac:dyDescent="0.2">
      <c r="A14" s="19" t="s">
        <v>171</v>
      </c>
      <c r="C14" s="19" t="s">
        <v>285</v>
      </c>
      <c r="D14" s="20" t="s">
        <v>226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/>
      <c r="M14" s="19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</row>
    <row r="15" spans="1:164" x14ac:dyDescent="0.2">
      <c r="A15" s="19" t="s">
        <v>154</v>
      </c>
      <c r="C15" s="19" t="s">
        <v>286</v>
      </c>
      <c r="D15" s="20" t="s">
        <v>227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/>
      <c r="M15" s="19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</row>
    <row r="16" spans="1:164" x14ac:dyDescent="0.2">
      <c r="A16" s="19" t="s">
        <v>58</v>
      </c>
      <c r="C16" s="19" t="s">
        <v>287</v>
      </c>
      <c r="D16" s="20" t="s">
        <v>228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19">
        <v>0</v>
      </c>
      <c r="K16" s="19">
        <v>0</v>
      </c>
      <c r="L16" s="19"/>
      <c r="M16" s="19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</row>
    <row r="17" spans="1:164" x14ac:dyDescent="0.2">
      <c r="A17" s="19" t="s">
        <v>59</v>
      </c>
      <c r="C17" s="19" t="s">
        <v>288</v>
      </c>
      <c r="D17" s="20" t="s">
        <v>229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/>
      <c r="M17" s="19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</row>
    <row r="18" spans="1:164" x14ac:dyDescent="0.2">
      <c r="A18" s="19" t="s">
        <v>60</v>
      </c>
      <c r="C18" s="19" t="s">
        <v>289</v>
      </c>
      <c r="D18" s="20" t="s">
        <v>230</v>
      </c>
      <c r="E18" s="19">
        <v>0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0</v>
      </c>
      <c r="L18" s="19"/>
      <c r="M18" s="19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</row>
    <row r="19" spans="1:164" x14ac:dyDescent="0.2">
      <c r="A19" s="19" t="s">
        <v>61</v>
      </c>
      <c r="C19" s="19" t="s">
        <v>290</v>
      </c>
      <c r="D19" s="20" t="s">
        <v>231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/>
      <c r="M19" s="19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</row>
    <row r="20" spans="1:164" x14ac:dyDescent="0.2">
      <c r="A20" s="19" t="s">
        <v>62</v>
      </c>
      <c r="C20" s="19" t="s">
        <v>291</v>
      </c>
      <c r="D20" s="20" t="s">
        <v>232</v>
      </c>
      <c r="E20" s="19">
        <v>0</v>
      </c>
      <c r="F20" s="19">
        <v>0</v>
      </c>
      <c r="G20" s="19">
        <v>0</v>
      </c>
      <c r="H20" s="19">
        <v>0</v>
      </c>
      <c r="I20" s="19">
        <v>0</v>
      </c>
      <c r="J20" s="19">
        <v>0</v>
      </c>
      <c r="K20" s="19">
        <v>0</v>
      </c>
      <c r="L20" s="19"/>
      <c r="M20" s="19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</row>
    <row r="21" spans="1:164" x14ac:dyDescent="0.2">
      <c r="A21" s="19" t="s">
        <v>63</v>
      </c>
      <c r="C21" s="19" t="s">
        <v>292</v>
      </c>
      <c r="D21" s="20" t="s">
        <v>233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/>
      <c r="M21" s="19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</row>
    <row r="22" spans="1:164" x14ac:dyDescent="0.2">
      <c r="A22" s="19" t="s">
        <v>64</v>
      </c>
      <c r="C22" s="19" t="s">
        <v>293</v>
      </c>
      <c r="D22" s="20" t="s">
        <v>234</v>
      </c>
      <c r="E22" s="19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/>
      <c r="M22" s="19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</row>
    <row r="23" spans="1:164" x14ac:dyDescent="0.2">
      <c r="A23" s="19" t="s">
        <v>65</v>
      </c>
      <c r="C23" s="19" t="s">
        <v>294</v>
      </c>
      <c r="D23" s="20" t="s">
        <v>235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/>
      <c r="M23" s="19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</row>
    <row r="24" spans="1:164" x14ac:dyDescent="0.2">
      <c r="A24" s="19" t="s">
        <v>66</v>
      </c>
      <c r="C24" s="19" t="s">
        <v>295</v>
      </c>
      <c r="D24" s="20" t="s">
        <v>236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/>
      <c r="M24" s="1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</row>
    <row r="25" spans="1:164" x14ac:dyDescent="0.2">
      <c r="A25" s="19" t="s">
        <v>67</v>
      </c>
      <c r="C25" s="19" t="s">
        <v>296</v>
      </c>
      <c r="D25" s="20" t="s">
        <v>237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/>
      <c r="M25" s="19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</row>
    <row r="26" spans="1:164" x14ac:dyDescent="0.2">
      <c r="A26" s="19" t="s">
        <v>68</v>
      </c>
      <c r="C26" s="19" t="s">
        <v>297</v>
      </c>
      <c r="D26" s="20" t="s">
        <v>238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/>
      <c r="M26" s="1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</row>
    <row r="27" spans="1:164" x14ac:dyDescent="0.2">
      <c r="A27" s="19" t="s">
        <v>69</v>
      </c>
      <c r="C27" s="19" t="s">
        <v>343</v>
      </c>
      <c r="D27" s="20" t="s">
        <v>342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/>
      <c r="M27" s="1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</row>
    <row r="28" spans="1:164" x14ac:dyDescent="0.2">
      <c r="A28" s="19" t="s">
        <v>157</v>
      </c>
      <c r="C28" s="19" t="s">
        <v>298</v>
      </c>
      <c r="D28" s="20" t="s">
        <v>239</v>
      </c>
      <c r="E28" s="19">
        <v>0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0</v>
      </c>
      <c r="L28" s="19"/>
      <c r="M28" s="1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</row>
    <row r="29" spans="1:164" x14ac:dyDescent="0.2">
      <c r="A29" s="19" t="s">
        <v>70</v>
      </c>
      <c r="C29" s="19" t="s">
        <v>299</v>
      </c>
      <c r="D29" s="20" t="s">
        <v>240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/>
      <c r="M29" s="1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</row>
    <row r="30" spans="1:164" x14ac:dyDescent="0.2">
      <c r="A30" s="19" t="s">
        <v>71</v>
      </c>
      <c r="C30" s="19" t="s">
        <v>300</v>
      </c>
      <c r="D30" s="20" t="s">
        <v>241</v>
      </c>
      <c r="E30" s="19">
        <v>-999</v>
      </c>
      <c r="F30" s="19">
        <v>-999</v>
      </c>
      <c r="G30" s="19">
        <v>-999</v>
      </c>
      <c r="H30" s="19">
        <v>-999</v>
      </c>
      <c r="I30" s="19">
        <v>-999</v>
      </c>
      <c r="J30" s="19">
        <v>-999</v>
      </c>
      <c r="K30" s="19">
        <v>-999</v>
      </c>
      <c r="L30" s="19"/>
      <c r="M30" s="1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</row>
    <row r="31" spans="1:164" x14ac:dyDescent="0.2">
      <c r="A31" s="19" t="s">
        <v>72</v>
      </c>
      <c r="C31" s="19" t="s">
        <v>301</v>
      </c>
      <c r="D31" s="20" t="s">
        <v>242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/>
      <c r="M31" s="1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</row>
    <row r="32" spans="1:164" x14ac:dyDescent="0.2">
      <c r="A32" s="19" t="s">
        <v>73</v>
      </c>
      <c r="C32" s="19" t="s">
        <v>302</v>
      </c>
      <c r="D32" s="20" t="s">
        <v>243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  <c r="L32" s="19"/>
      <c r="M32" s="1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</row>
    <row r="33" spans="1:164" x14ac:dyDescent="0.2">
      <c r="A33" s="19" t="s">
        <v>74</v>
      </c>
      <c r="C33" s="19" t="s">
        <v>303</v>
      </c>
      <c r="D33" s="20" t="s">
        <v>244</v>
      </c>
      <c r="E33" s="19">
        <v>0</v>
      </c>
      <c r="F33" s="19">
        <v>0</v>
      </c>
      <c r="G33" s="19">
        <v>0</v>
      </c>
      <c r="H33" s="19">
        <v>0</v>
      </c>
      <c r="I33" s="19">
        <v>0</v>
      </c>
      <c r="J33" s="19">
        <v>0</v>
      </c>
      <c r="K33" s="19">
        <v>0</v>
      </c>
      <c r="L33" s="19"/>
      <c r="M33" s="1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</row>
    <row r="34" spans="1:164" x14ac:dyDescent="0.2">
      <c r="A34" s="19" t="s">
        <v>75</v>
      </c>
      <c r="C34" s="19" t="s">
        <v>304</v>
      </c>
      <c r="D34" s="20" t="s">
        <v>245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/>
      <c r="M34" s="1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</row>
    <row r="35" spans="1:164" x14ac:dyDescent="0.2">
      <c r="A35" s="19" t="s">
        <v>76</v>
      </c>
      <c r="C35" s="19" t="s">
        <v>305</v>
      </c>
      <c r="D35" s="20" t="s">
        <v>246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/>
      <c r="M35" s="19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</row>
    <row r="36" spans="1:164" x14ac:dyDescent="0.2">
      <c r="A36" s="19" t="s">
        <v>77</v>
      </c>
      <c r="C36" s="19" t="s">
        <v>306</v>
      </c>
      <c r="D36" s="20" t="s">
        <v>247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/>
      <c r="M36" s="19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</row>
    <row r="37" spans="1:164" x14ac:dyDescent="0.2">
      <c r="A37" s="19" t="s">
        <v>78</v>
      </c>
      <c r="C37" s="19" t="s">
        <v>307</v>
      </c>
      <c r="D37" s="20" t="s">
        <v>248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/>
      <c r="M37" s="19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</row>
    <row r="38" spans="1:164" x14ac:dyDescent="0.2">
      <c r="A38" s="19" t="s">
        <v>79</v>
      </c>
      <c r="C38" s="19" t="s">
        <v>308</v>
      </c>
      <c r="D38" s="20" t="s">
        <v>206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/>
      <c r="M38" s="19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</row>
    <row r="39" spans="1:164" x14ac:dyDescent="0.2">
      <c r="A39" s="19" t="s">
        <v>80</v>
      </c>
      <c r="C39" s="19" t="s">
        <v>309</v>
      </c>
      <c r="D39" s="20" t="s">
        <v>249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/>
      <c r="M39" s="19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</row>
    <row r="40" spans="1:164" x14ac:dyDescent="0.2">
      <c r="A40" s="19" t="s">
        <v>81</v>
      </c>
      <c r="C40" s="19" t="s">
        <v>310</v>
      </c>
      <c r="D40" s="20" t="s">
        <v>250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/>
      <c r="M40" s="19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</row>
    <row r="41" spans="1:164" x14ac:dyDescent="0.2">
      <c r="A41" s="19" t="s">
        <v>82</v>
      </c>
      <c r="C41" s="19" t="s">
        <v>311</v>
      </c>
      <c r="D41" s="20" t="s">
        <v>251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/>
      <c r="M41" s="19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</row>
    <row r="42" spans="1:164" x14ac:dyDescent="0.2">
      <c r="A42" s="19" t="s">
        <v>83</v>
      </c>
      <c r="C42" s="19" t="s">
        <v>312</v>
      </c>
      <c r="D42" s="20" t="s">
        <v>252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/>
      <c r="M42" s="19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</row>
    <row r="43" spans="1:164" x14ac:dyDescent="0.2">
      <c r="A43" s="19" t="s">
        <v>129</v>
      </c>
      <c r="C43" s="19" t="s">
        <v>313</v>
      </c>
      <c r="D43" s="20" t="s">
        <v>253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/>
      <c r="M43" s="19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</row>
    <row r="44" spans="1:164" x14ac:dyDescent="0.2">
      <c r="C44" s="19" t="s">
        <v>314</v>
      </c>
      <c r="D44" s="20" t="s">
        <v>254</v>
      </c>
      <c r="E44" s="19">
        <v>0</v>
      </c>
      <c r="F44" s="19">
        <v>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19"/>
      <c r="M44" s="19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</row>
    <row r="45" spans="1:164" x14ac:dyDescent="0.2">
      <c r="C45" s="19" t="s">
        <v>315</v>
      </c>
      <c r="D45" s="20" t="s">
        <v>255</v>
      </c>
      <c r="E45" s="19">
        <v>1</v>
      </c>
      <c r="F45" s="19">
        <v>1</v>
      </c>
      <c r="G45" s="19">
        <v>1</v>
      </c>
      <c r="H45" s="19">
        <v>1</v>
      </c>
      <c r="I45" s="19">
        <v>1</v>
      </c>
      <c r="J45" s="19">
        <v>1</v>
      </c>
      <c r="K45" s="19">
        <v>1</v>
      </c>
      <c r="L45" s="19"/>
      <c r="M45" s="19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</row>
    <row r="46" spans="1:164" x14ac:dyDescent="0.2">
      <c r="C46" s="19" t="s">
        <v>316</v>
      </c>
      <c r="D46" s="20" t="s">
        <v>206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/>
      <c r="M46" s="19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</row>
    <row r="47" spans="1:164" x14ac:dyDescent="0.2">
      <c r="C47" s="19" t="s">
        <v>317</v>
      </c>
      <c r="D47" s="20" t="s">
        <v>256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/>
      <c r="M47" s="19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</row>
    <row r="48" spans="1:164" x14ac:dyDescent="0.2">
      <c r="C48" s="19" t="s">
        <v>318</v>
      </c>
      <c r="D48" s="20" t="s">
        <v>257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19"/>
      <c r="M48" s="19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</row>
    <row r="49" spans="3:164" x14ac:dyDescent="0.2">
      <c r="C49" s="19" t="s">
        <v>345</v>
      </c>
      <c r="D49" s="20" t="s">
        <v>344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19"/>
      <c r="M49" s="19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</row>
    <row r="50" spans="3:164" x14ac:dyDescent="0.2">
      <c r="C50" s="19" t="s">
        <v>319</v>
      </c>
      <c r="D50" s="20" t="s">
        <v>258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19"/>
      <c r="M50" s="19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</row>
    <row r="51" spans="3:164" x14ac:dyDescent="0.2">
      <c r="C51" s="19" t="s">
        <v>320</v>
      </c>
      <c r="D51" s="20" t="s">
        <v>259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19"/>
      <c r="M51" s="19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</row>
    <row r="52" spans="3:164" x14ac:dyDescent="0.2">
      <c r="C52" s="19" t="s">
        <v>321</v>
      </c>
      <c r="D52" s="20" t="s">
        <v>260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19"/>
      <c r="M52" s="19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</row>
    <row r="53" spans="3:164" x14ac:dyDescent="0.2">
      <c r="C53" s="19" t="s">
        <v>322</v>
      </c>
      <c r="D53" s="20" t="s">
        <v>261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19"/>
      <c r="M53" s="19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</row>
    <row r="54" spans="3:164" x14ac:dyDescent="0.2">
      <c r="C54" s="19" t="s">
        <v>323</v>
      </c>
      <c r="D54" s="20" t="s">
        <v>262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/>
      <c r="M54" s="19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</row>
    <row r="55" spans="3:164" x14ac:dyDescent="0.2">
      <c r="C55" s="19" t="s">
        <v>324</v>
      </c>
      <c r="D55" s="20" t="s">
        <v>263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19"/>
      <c r="M55" s="19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</row>
    <row r="56" spans="3:164" x14ac:dyDescent="0.2">
      <c r="C56" s="19" t="s">
        <v>325</v>
      </c>
      <c r="D56" s="20" t="s">
        <v>264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19"/>
      <c r="M56" s="19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</row>
    <row r="57" spans="3:164" x14ac:dyDescent="0.2">
      <c r="C57" s="19" t="s">
        <v>326</v>
      </c>
      <c r="D57" s="20" t="s">
        <v>265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19"/>
      <c r="M57" s="19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</row>
    <row r="58" spans="3:164" x14ac:dyDescent="0.2">
      <c r="C58" s="19" t="s">
        <v>327</v>
      </c>
      <c r="D58" s="34" t="s">
        <v>266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19"/>
      <c r="M58" s="19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</row>
    <row r="59" spans="3:164" x14ac:dyDescent="0.2">
      <c r="C59" s="19" t="s">
        <v>328</v>
      </c>
      <c r="D59" s="34" t="s">
        <v>267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19"/>
      <c r="M59" s="19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</row>
    <row r="60" spans="3:164" x14ac:dyDescent="0.2">
      <c r="C60" s="19" t="s">
        <v>329</v>
      </c>
      <c r="D60" s="34" t="s">
        <v>268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19"/>
      <c r="M60" s="19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</row>
    <row r="61" spans="3:164" x14ac:dyDescent="0.2">
      <c r="C61" s="19" t="s">
        <v>330</v>
      </c>
      <c r="D61" s="20" t="s">
        <v>269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19"/>
      <c r="M61" s="19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</row>
    <row r="62" spans="3:164" x14ac:dyDescent="0.2">
      <c r="C62" s="19" t="s">
        <v>331</v>
      </c>
      <c r="D62" s="35" t="s">
        <v>270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19"/>
      <c r="M62" s="19"/>
      <c r="N62" s="35"/>
      <c r="O62" s="35"/>
      <c r="P62" s="23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</row>
    <row r="63" spans="3:164" x14ac:dyDescent="0.2">
      <c r="C63" s="19" t="s">
        <v>332</v>
      </c>
      <c r="D63" s="24" t="s">
        <v>271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19"/>
      <c r="M63" s="19"/>
      <c r="N63" s="24"/>
      <c r="O63" s="24"/>
      <c r="P63" s="23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</row>
    <row r="64" spans="3:164" x14ac:dyDescent="0.2">
      <c r="C64" s="19" t="s">
        <v>333</v>
      </c>
      <c r="D64" s="34" t="s">
        <v>272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19"/>
      <c r="M64" s="19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</row>
    <row r="65" spans="3:164" x14ac:dyDescent="0.2">
      <c r="C65" s="19" t="s">
        <v>334</v>
      </c>
      <c r="D65" s="34" t="s">
        <v>273</v>
      </c>
      <c r="E65" s="34">
        <v>0</v>
      </c>
      <c r="F65" s="34">
        <v>0</v>
      </c>
      <c r="G65" s="34">
        <v>0</v>
      </c>
      <c r="H65" s="34">
        <v>0</v>
      </c>
      <c r="I65" s="34">
        <v>0</v>
      </c>
      <c r="J65" s="34">
        <v>0</v>
      </c>
      <c r="K65" s="34">
        <v>0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</row>
    <row r="66" spans="3:164" x14ac:dyDescent="0.2">
      <c r="C66" s="19" t="s">
        <v>335</v>
      </c>
      <c r="D66" s="34" t="s">
        <v>274</v>
      </c>
      <c r="E66" s="34">
        <v>0</v>
      </c>
      <c r="F66" s="34">
        <v>0</v>
      </c>
      <c r="G66" s="34">
        <v>0</v>
      </c>
      <c r="H66" s="34">
        <v>0</v>
      </c>
      <c r="I66" s="34">
        <v>0</v>
      </c>
      <c r="J66" s="34">
        <v>0</v>
      </c>
      <c r="K66" s="34">
        <v>0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</row>
    <row r="67" spans="3:164" x14ac:dyDescent="0.2">
      <c r="C67" s="19" t="s">
        <v>336</v>
      </c>
      <c r="D67" s="20" t="s">
        <v>386</v>
      </c>
      <c r="E67" s="34">
        <v>0</v>
      </c>
      <c r="F67" s="34">
        <v>0</v>
      </c>
      <c r="G67" s="34">
        <v>0</v>
      </c>
      <c r="H67" s="34">
        <v>0</v>
      </c>
      <c r="I67" s="34">
        <v>0</v>
      </c>
      <c r="J67" s="34">
        <v>0</v>
      </c>
      <c r="K67" s="34">
        <v>0</v>
      </c>
      <c r="L67" s="34"/>
      <c r="M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</row>
    <row r="68" spans="3:164" x14ac:dyDescent="0.2">
      <c r="C68" s="19" t="s">
        <v>337</v>
      </c>
      <c r="D68" s="34" t="s">
        <v>275</v>
      </c>
      <c r="E68" s="34">
        <v>0</v>
      </c>
      <c r="F68" s="34">
        <v>0</v>
      </c>
      <c r="G68" s="34">
        <v>0</v>
      </c>
      <c r="H68" s="34">
        <v>0</v>
      </c>
      <c r="I68" s="34">
        <v>0</v>
      </c>
      <c r="J68" s="34">
        <v>0</v>
      </c>
      <c r="K68" s="34">
        <v>0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</row>
    <row r="69" spans="3:164" x14ac:dyDescent="0.2">
      <c r="E69" s="35"/>
      <c r="F69" s="35"/>
      <c r="G69" s="35"/>
      <c r="H69" s="35"/>
      <c r="I69" s="35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</row>
    <row r="70" spans="3:164" x14ac:dyDescent="0.2">
      <c r="E70" s="24"/>
      <c r="F70" s="24"/>
      <c r="G70" s="24"/>
      <c r="H70" s="24"/>
      <c r="I70" s="24"/>
      <c r="J70" s="20"/>
    </row>
    <row r="71" spans="3:164" x14ac:dyDescent="0.2">
      <c r="E71" s="34"/>
      <c r="F71" s="34"/>
      <c r="G71" s="34"/>
      <c r="H71" s="34"/>
      <c r="I71" s="34"/>
      <c r="J71" s="20"/>
    </row>
    <row r="72" spans="3:164" x14ac:dyDescent="0.2">
      <c r="E72" s="34"/>
      <c r="F72" s="34"/>
      <c r="G72" s="34"/>
      <c r="H72" s="34"/>
      <c r="I72" s="34"/>
      <c r="J72" s="20"/>
    </row>
    <row r="73" spans="3:164" x14ac:dyDescent="0.2">
      <c r="E73" s="34"/>
      <c r="F73" s="34"/>
      <c r="G73" s="34"/>
      <c r="H73" s="34"/>
      <c r="I73" s="34"/>
      <c r="J73" s="20"/>
    </row>
    <row r="74" spans="3:164" x14ac:dyDescent="0.2">
      <c r="E74" s="34"/>
      <c r="F74" s="34"/>
      <c r="G74" s="34"/>
      <c r="H74" s="34"/>
      <c r="I74" s="34"/>
      <c r="J74" s="20"/>
    </row>
    <row r="75" spans="3:164" x14ac:dyDescent="0.2">
      <c r="E75" s="34"/>
      <c r="F75" s="34"/>
      <c r="G75" s="34"/>
      <c r="H75" s="34"/>
      <c r="I75" s="34"/>
      <c r="J75" s="20"/>
    </row>
    <row r="76" spans="3:164" x14ac:dyDescent="0.2">
      <c r="E76" s="34"/>
      <c r="F76" s="34"/>
      <c r="G76" s="34"/>
      <c r="H76" s="34"/>
      <c r="I76" s="34"/>
      <c r="J76" s="20"/>
    </row>
    <row r="77" spans="3:164" x14ac:dyDescent="0.2">
      <c r="J77" s="20"/>
    </row>
    <row r="78" spans="3:164" x14ac:dyDescent="0.2">
      <c r="J78" s="20"/>
    </row>
    <row r="79" spans="3:164" x14ac:dyDescent="0.2">
      <c r="J79" s="20"/>
    </row>
    <row r="80" spans="3:164" x14ac:dyDescent="0.2">
      <c r="J80" s="20"/>
    </row>
    <row r="81" spans="10:10" x14ac:dyDescent="0.2">
      <c r="J81" s="20"/>
    </row>
    <row r="82" spans="10:10" x14ac:dyDescent="0.2">
      <c r="J82" s="20"/>
    </row>
    <row r="83" spans="10:10" x14ac:dyDescent="0.2">
      <c r="J83" s="20"/>
    </row>
    <row r="84" spans="10:10" x14ac:dyDescent="0.2">
      <c r="J84" s="20"/>
    </row>
    <row r="85" spans="10:10" x14ac:dyDescent="0.2">
      <c r="J85" s="20"/>
    </row>
    <row r="86" spans="10:10" x14ac:dyDescent="0.2">
      <c r="J86" s="20"/>
    </row>
    <row r="87" spans="10:10" x14ac:dyDescent="0.2">
      <c r="J87" s="20"/>
    </row>
    <row r="88" spans="10:10" x14ac:dyDescent="0.2">
      <c r="J88" s="20"/>
    </row>
    <row r="89" spans="10:10" x14ac:dyDescent="0.2">
      <c r="J89" s="20"/>
    </row>
    <row r="90" spans="10:10" x14ac:dyDescent="0.2">
      <c r="J90" s="20"/>
    </row>
    <row r="91" spans="10:10" x14ac:dyDescent="0.2">
      <c r="J91" s="20"/>
    </row>
    <row r="92" spans="10:10" x14ac:dyDescent="0.2">
      <c r="J92" s="20"/>
    </row>
    <row r="93" spans="10:10" x14ac:dyDescent="0.2">
      <c r="J93" s="20"/>
    </row>
    <row r="94" spans="10:10" x14ac:dyDescent="0.2">
      <c r="J94" s="20"/>
    </row>
    <row r="95" spans="10:10" x14ac:dyDescent="0.2">
      <c r="J95" s="20"/>
    </row>
    <row r="96" spans="10:10" x14ac:dyDescent="0.2">
      <c r="J96" s="20"/>
    </row>
    <row r="97" spans="10:10" x14ac:dyDescent="0.2">
      <c r="J97" s="20"/>
    </row>
    <row r="98" spans="10:10" x14ac:dyDescent="0.2">
      <c r="J98" s="20"/>
    </row>
    <row r="99" spans="10:10" x14ac:dyDescent="0.2">
      <c r="J99" s="20"/>
    </row>
    <row r="100" spans="10:10" x14ac:dyDescent="0.2">
      <c r="J100" s="20"/>
    </row>
    <row r="101" spans="10:10" x14ac:dyDescent="0.2">
      <c r="J101" s="20"/>
    </row>
    <row r="102" spans="10:10" x14ac:dyDescent="0.2">
      <c r="J102" s="20"/>
    </row>
    <row r="103" spans="10:10" x14ac:dyDescent="0.2">
      <c r="J103" s="20"/>
    </row>
    <row r="104" spans="10:10" x14ac:dyDescent="0.2">
      <c r="J104" s="20"/>
    </row>
    <row r="105" spans="10:10" x14ac:dyDescent="0.2">
      <c r="J105" s="20"/>
    </row>
    <row r="106" spans="10:10" x14ac:dyDescent="0.2">
      <c r="J106" s="20"/>
    </row>
    <row r="107" spans="10:10" x14ac:dyDescent="0.2">
      <c r="J107" s="20"/>
    </row>
    <row r="108" spans="10:10" x14ac:dyDescent="0.2">
      <c r="J108" s="20"/>
    </row>
    <row r="109" spans="10:10" x14ac:dyDescent="0.2">
      <c r="J109" s="20"/>
    </row>
    <row r="110" spans="10:10" x14ac:dyDescent="0.2">
      <c r="J110" s="20"/>
    </row>
    <row r="111" spans="10:10" x14ac:dyDescent="0.2">
      <c r="J111" s="20"/>
    </row>
    <row r="112" spans="10:10" x14ac:dyDescent="0.2">
      <c r="J112" s="20"/>
    </row>
    <row r="113" spans="10:10" x14ac:dyDescent="0.2">
      <c r="J113" s="20"/>
    </row>
    <row r="114" spans="10:10" x14ac:dyDescent="0.2">
      <c r="J114" s="20"/>
    </row>
    <row r="115" spans="10:10" x14ac:dyDescent="0.2">
      <c r="J115" s="20"/>
    </row>
    <row r="116" spans="10:10" x14ac:dyDescent="0.2">
      <c r="J116" s="20"/>
    </row>
    <row r="117" spans="10:10" x14ac:dyDescent="0.2">
      <c r="J117" s="20"/>
    </row>
    <row r="118" spans="10:10" x14ac:dyDescent="0.2">
      <c r="J118" s="20"/>
    </row>
    <row r="119" spans="10:10" x14ac:dyDescent="0.2">
      <c r="J119" s="20"/>
    </row>
    <row r="120" spans="10:10" x14ac:dyDescent="0.2">
      <c r="J120" s="20"/>
    </row>
    <row r="121" spans="10:10" x14ac:dyDescent="0.2">
      <c r="J121" s="20"/>
    </row>
    <row r="122" spans="10:10" x14ac:dyDescent="0.2">
      <c r="J122" s="20"/>
    </row>
    <row r="123" spans="10:10" x14ac:dyDescent="0.2">
      <c r="J123" s="20"/>
    </row>
    <row r="124" spans="10:10" x14ac:dyDescent="0.2">
      <c r="J124" s="20"/>
    </row>
    <row r="125" spans="10:10" x14ac:dyDescent="0.2">
      <c r="J125" s="20"/>
    </row>
    <row r="126" spans="10:10" x14ac:dyDescent="0.2">
      <c r="J126" s="20"/>
    </row>
    <row r="127" spans="10:10" x14ac:dyDescent="0.2">
      <c r="J127" s="20"/>
    </row>
    <row r="128" spans="10:10" x14ac:dyDescent="0.2">
      <c r="J128" s="20"/>
    </row>
    <row r="129" spans="10:10" x14ac:dyDescent="0.2">
      <c r="J129" s="20"/>
    </row>
    <row r="130" spans="10:10" x14ac:dyDescent="0.2">
      <c r="J130" s="20"/>
    </row>
    <row r="131" spans="10:10" x14ac:dyDescent="0.2">
      <c r="J131" s="20"/>
    </row>
    <row r="132" spans="10:10" x14ac:dyDescent="0.2">
      <c r="J132" s="20"/>
    </row>
    <row r="133" spans="10:10" x14ac:dyDescent="0.2">
      <c r="J133" s="20"/>
    </row>
    <row r="134" spans="10:10" x14ac:dyDescent="0.2">
      <c r="J134" s="20"/>
    </row>
    <row r="135" spans="10:10" x14ac:dyDescent="0.2">
      <c r="J135" s="20"/>
    </row>
    <row r="136" spans="10:10" x14ac:dyDescent="0.2">
      <c r="J136" s="20"/>
    </row>
    <row r="137" spans="10:10" x14ac:dyDescent="0.2">
      <c r="J137" s="20"/>
    </row>
    <row r="138" spans="10:10" x14ac:dyDescent="0.2">
      <c r="J138" s="20"/>
    </row>
  </sheetData>
  <phoneticPr fontId="0" type="noConversion"/>
  <conditionalFormatting sqref="N2:CB2 D2">
    <cfRule type="cellIs" dxfId="6" priority="12" stopIfTrue="1" operator="equal">
      <formula>3</formula>
    </cfRule>
  </conditionalFormatting>
  <conditionalFormatting sqref="F2">
    <cfRule type="cellIs" dxfId="5" priority="6" stopIfTrue="1" operator="equal">
      <formula>3</formula>
    </cfRule>
  </conditionalFormatting>
  <conditionalFormatting sqref="G2">
    <cfRule type="cellIs" dxfId="4" priority="5" stopIfTrue="1" operator="equal">
      <formula>3</formula>
    </cfRule>
  </conditionalFormatting>
  <conditionalFormatting sqref="I2">
    <cfRule type="cellIs" dxfId="3" priority="4" stopIfTrue="1" operator="equal">
      <formula>3</formula>
    </cfRule>
  </conditionalFormatting>
  <conditionalFormatting sqref="J2">
    <cfRule type="cellIs" dxfId="2" priority="3" stopIfTrue="1" operator="equal">
      <formula>3</formula>
    </cfRule>
  </conditionalFormatting>
  <conditionalFormatting sqref="L2">
    <cfRule type="cellIs" dxfId="1" priority="2" stopIfTrue="1" operator="equal">
      <formula>3</formula>
    </cfRule>
  </conditionalFormatting>
  <conditionalFormatting sqref="M2">
    <cfRule type="cellIs" dxfId="0" priority="1" stopIfTrue="1" operator="equal">
      <formula>3</formula>
    </cfRule>
  </conditionalFormatting>
  <pageMargins left="0.75" right="0.75" top="0.46" bottom="0.28999999999999998" header="0.34" footer="0.23"/>
  <pageSetup paperSize="9" orientation="portrait" horizontalDpi="1200" verticalDpi="12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>
    <tabColor indexed="42"/>
  </sheetPr>
  <dimension ref="A1:T41"/>
  <sheetViews>
    <sheetView zoomScale="85" workbookViewId="0">
      <selection activeCell="B3" sqref="B3:N41"/>
    </sheetView>
  </sheetViews>
  <sheetFormatPr defaultColWidth="11.42578125" defaultRowHeight="12.75" x14ac:dyDescent="0.2"/>
  <cols>
    <col min="1" max="1" width="19.140625" style="13" bestFit="1" customWidth="1"/>
    <col min="2" max="2" width="13.7109375" style="13" bestFit="1" customWidth="1"/>
    <col min="3" max="16384" width="11.42578125" style="19"/>
  </cols>
  <sheetData>
    <row r="1" spans="1:18" x14ac:dyDescent="0.2">
      <c r="C1" s="37" t="s">
        <v>164</v>
      </c>
      <c r="D1" s="37" t="s">
        <v>165</v>
      </c>
      <c r="E1" s="37" t="s">
        <v>150</v>
      </c>
      <c r="F1" s="37" t="s">
        <v>166</v>
      </c>
      <c r="G1" s="37" t="s">
        <v>148</v>
      </c>
      <c r="H1" s="37" t="s">
        <v>167</v>
      </c>
      <c r="I1" s="37" t="s">
        <v>149</v>
      </c>
      <c r="J1" s="37" t="s">
        <v>168</v>
      </c>
      <c r="K1" s="37" t="s">
        <v>169</v>
      </c>
      <c r="L1" s="37" t="s">
        <v>152</v>
      </c>
      <c r="M1" s="37" t="s">
        <v>170</v>
      </c>
      <c r="N1" s="37" t="s">
        <v>153</v>
      </c>
      <c r="O1" s="37"/>
      <c r="P1" s="37"/>
      <c r="Q1" s="37"/>
      <c r="R1" s="37"/>
    </row>
    <row r="2" spans="1:18" x14ac:dyDescent="0.2">
      <c r="A2" s="14" t="s">
        <v>85</v>
      </c>
      <c r="B2" s="13" t="s">
        <v>128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/>
      <c r="P2" s="14"/>
      <c r="Q2" s="14"/>
      <c r="R2" s="14"/>
    </row>
    <row r="3" spans="1:18" x14ac:dyDescent="0.2">
      <c r="A3" s="38" t="s">
        <v>0</v>
      </c>
      <c r="B3" s="39">
        <v>1</v>
      </c>
      <c r="C3" s="40">
        <v>860</v>
      </c>
      <c r="D3" s="40">
        <v>860</v>
      </c>
      <c r="E3" s="40">
        <v>860</v>
      </c>
      <c r="F3" s="41">
        <v>860</v>
      </c>
      <c r="G3" s="40">
        <v>860</v>
      </c>
      <c r="H3" s="40">
        <v>860</v>
      </c>
      <c r="I3" s="40">
        <v>860</v>
      </c>
      <c r="J3" s="40">
        <v>860</v>
      </c>
      <c r="K3" s="40">
        <v>860</v>
      </c>
      <c r="L3" s="40">
        <v>860</v>
      </c>
      <c r="M3" s="40">
        <v>860</v>
      </c>
      <c r="N3" s="40">
        <v>860</v>
      </c>
    </row>
    <row r="4" spans="1:18" x14ac:dyDescent="0.2">
      <c r="A4" s="38" t="s">
        <v>1</v>
      </c>
      <c r="B4" s="39">
        <f t="shared" ref="B4:B13" si="0">B3</f>
        <v>1</v>
      </c>
      <c r="C4" s="40">
        <v>12.7</v>
      </c>
      <c r="D4" s="40">
        <v>12.7</v>
      </c>
      <c r="E4" s="40">
        <v>12.7</v>
      </c>
      <c r="F4" s="41">
        <v>12.7</v>
      </c>
      <c r="G4" s="40">
        <v>12.7</v>
      </c>
      <c r="H4" s="40">
        <v>12.7</v>
      </c>
      <c r="I4" s="40">
        <v>12.7</v>
      </c>
      <c r="J4" s="40">
        <v>12.7</v>
      </c>
      <c r="K4" s="40">
        <v>12.7</v>
      </c>
      <c r="L4" s="40">
        <v>12.7</v>
      </c>
      <c r="M4" s="40">
        <v>12.7</v>
      </c>
      <c r="N4" s="40">
        <v>12.7</v>
      </c>
    </row>
    <row r="5" spans="1:18" x14ac:dyDescent="0.2">
      <c r="A5" s="38" t="s">
        <v>2</v>
      </c>
      <c r="B5" s="39">
        <f t="shared" si="0"/>
        <v>1</v>
      </c>
      <c r="C5" s="40">
        <v>18.8</v>
      </c>
      <c r="D5" s="40">
        <v>18.8</v>
      </c>
      <c r="E5" s="40">
        <v>18.8</v>
      </c>
      <c r="F5" s="41">
        <v>18.8</v>
      </c>
      <c r="G5" s="40">
        <v>18.8</v>
      </c>
      <c r="H5" s="40">
        <v>18.8</v>
      </c>
      <c r="I5" s="40">
        <v>18.8</v>
      </c>
      <c r="J5" s="40">
        <v>18.8</v>
      </c>
      <c r="K5" s="40">
        <v>18.8</v>
      </c>
      <c r="L5" s="40">
        <v>18.8</v>
      </c>
      <c r="M5" s="40">
        <v>18.8</v>
      </c>
      <c r="N5" s="40">
        <v>18.8</v>
      </c>
    </row>
    <row r="6" spans="1:18" x14ac:dyDescent="0.2">
      <c r="A6" s="38" t="s">
        <v>3</v>
      </c>
      <c r="B6" s="39">
        <f t="shared" si="0"/>
        <v>1</v>
      </c>
      <c r="C6" s="42">
        <v>9.9</v>
      </c>
      <c r="D6" s="42">
        <v>9.9</v>
      </c>
      <c r="E6" s="40">
        <v>9.9</v>
      </c>
      <c r="F6" s="41">
        <v>9.9</v>
      </c>
      <c r="G6" s="40">
        <v>9.9</v>
      </c>
      <c r="H6" s="40">
        <v>9.9</v>
      </c>
      <c r="I6" s="40">
        <v>9.9</v>
      </c>
      <c r="J6" s="40">
        <v>9.9</v>
      </c>
      <c r="K6" s="40">
        <v>9.9</v>
      </c>
      <c r="L6" s="40">
        <v>9.9</v>
      </c>
      <c r="M6" s="40">
        <v>9.9</v>
      </c>
      <c r="N6" s="40">
        <v>9.9</v>
      </c>
      <c r="O6" s="34"/>
      <c r="P6" s="34"/>
    </row>
    <row r="7" spans="1:18" x14ac:dyDescent="0.2">
      <c r="A7" s="38" t="s">
        <v>4</v>
      </c>
      <c r="B7" s="39">
        <f t="shared" si="0"/>
        <v>1</v>
      </c>
      <c r="C7" s="42">
        <v>300</v>
      </c>
      <c r="D7" s="42">
        <v>300</v>
      </c>
      <c r="E7" s="40">
        <v>300</v>
      </c>
      <c r="F7" s="41">
        <v>300</v>
      </c>
      <c r="G7" s="40">
        <v>300</v>
      </c>
      <c r="H7" s="40">
        <v>300</v>
      </c>
      <c r="I7" s="40">
        <v>300</v>
      </c>
      <c r="J7" s="40">
        <v>300</v>
      </c>
      <c r="K7" s="40">
        <v>300</v>
      </c>
      <c r="L7" s="40">
        <v>300</v>
      </c>
      <c r="M7" s="40">
        <v>300</v>
      </c>
      <c r="N7" s="40">
        <v>300</v>
      </c>
      <c r="O7" s="34"/>
      <c r="P7" s="34"/>
    </row>
    <row r="8" spans="1:18" x14ac:dyDescent="0.2">
      <c r="A8" s="38" t="s">
        <v>5</v>
      </c>
      <c r="B8" s="39">
        <f t="shared" si="0"/>
        <v>1</v>
      </c>
      <c r="C8" s="42">
        <v>1.3</v>
      </c>
      <c r="D8" s="42">
        <v>1.3</v>
      </c>
      <c r="E8" s="40">
        <v>1.3</v>
      </c>
      <c r="F8" s="41">
        <v>1.3</v>
      </c>
      <c r="G8" s="40">
        <v>1.3</v>
      </c>
      <c r="H8" s="40">
        <v>1.3</v>
      </c>
      <c r="I8" s="40">
        <v>1.3</v>
      </c>
      <c r="J8" s="40">
        <v>1.3</v>
      </c>
      <c r="K8" s="40">
        <v>1.3</v>
      </c>
      <c r="L8" s="40">
        <v>1.3</v>
      </c>
      <c r="M8" s="40">
        <v>1.3</v>
      </c>
      <c r="N8" s="40">
        <v>1.3</v>
      </c>
      <c r="O8" s="34"/>
      <c r="P8" s="34"/>
    </row>
    <row r="9" spans="1:18" x14ac:dyDescent="0.2">
      <c r="A9" s="38" t="s">
        <v>6</v>
      </c>
      <c r="B9" s="39">
        <f t="shared" si="0"/>
        <v>1</v>
      </c>
      <c r="C9" s="40">
        <v>0.81</v>
      </c>
      <c r="D9" s="40">
        <v>0.81</v>
      </c>
      <c r="E9" s="40">
        <v>0.81</v>
      </c>
      <c r="F9" s="41">
        <v>0.81</v>
      </c>
      <c r="G9" s="40">
        <v>0.81</v>
      </c>
      <c r="H9" s="40">
        <v>0.81</v>
      </c>
      <c r="I9" s="40">
        <v>0.81</v>
      </c>
      <c r="J9" s="40">
        <v>0.81</v>
      </c>
      <c r="K9" s="40">
        <v>0.81</v>
      </c>
      <c r="L9" s="40">
        <v>0.81</v>
      </c>
      <c r="M9" s="40">
        <v>0.81</v>
      </c>
      <c r="N9" s="40">
        <v>0.81</v>
      </c>
    </row>
    <row r="10" spans="1:18" x14ac:dyDescent="0.2">
      <c r="A10" s="38" t="s">
        <v>7</v>
      </c>
      <c r="B10" s="39">
        <f t="shared" si="0"/>
        <v>1</v>
      </c>
      <c r="C10" s="43">
        <v>0.25</v>
      </c>
      <c r="D10" s="43">
        <v>0.25</v>
      </c>
      <c r="E10" s="40">
        <v>0.25</v>
      </c>
      <c r="F10" s="41">
        <v>0.25</v>
      </c>
      <c r="G10" s="40">
        <v>0.25</v>
      </c>
      <c r="H10" s="40">
        <v>0.25</v>
      </c>
      <c r="I10" s="40">
        <v>0.25</v>
      </c>
      <c r="J10" s="40">
        <v>0.25</v>
      </c>
      <c r="K10" s="40">
        <v>0.25</v>
      </c>
      <c r="L10" s="40">
        <v>0.25</v>
      </c>
      <c r="M10" s="40">
        <v>0.25</v>
      </c>
      <c r="N10" s="40">
        <v>0.25</v>
      </c>
      <c r="O10" s="20"/>
      <c r="P10" s="20"/>
    </row>
    <row r="11" spans="1:18" x14ac:dyDescent="0.2">
      <c r="A11" s="38" t="s">
        <v>8</v>
      </c>
      <c r="B11" s="39">
        <f t="shared" si="0"/>
        <v>1</v>
      </c>
      <c r="C11" s="43">
        <v>0.64</v>
      </c>
      <c r="D11" s="43">
        <v>0.64</v>
      </c>
      <c r="E11" s="40">
        <v>0.64</v>
      </c>
      <c r="F11" s="41">
        <v>0.64</v>
      </c>
      <c r="G11" s="40">
        <v>0.64</v>
      </c>
      <c r="H11" s="40">
        <v>0.64</v>
      </c>
      <c r="I11" s="40">
        <v>0.64</v>
      </c>
      <c r="J11" s="40">
        <v>0.64</v>
      </c>
      <c r="K11" s="40">
        <v>0.64</v>
      </c>
      <c r="L11" s="40">
        <v>0.64</v>
      </c>
      <c r="M11" s="40">
        <v>0.64</v>
      </c>
      <c r="N11" s="40">
        <v>0.64</v>
      </c>
      <c r="O11" s="20"/>
      <c r="P11" s="20"/>
    </row>
    <row r="12" spans="1:18" x14ac:dyDescent="0.2">
      <c r="A12" s="38" t="s">
        <v>9</v>
      </c>
      <c r="B12" s="39">
        <f t="shared" si="0"/>
        <v>1</v>
      </c>
      <c r="C12" s="43">
        <v>0.12</v>
      </c>
      <c r="D12" s="43">
        <v>0.12</v>
      </c>
      <c r="E12" s="40">
        <v>0.12</v>
      </c>
      <c r="F12" s="41">
        <v>0.12</v>
      </c>
      <c r="G12" s="40">
        <v>0.12</v>
      </c>
      <c r="H12" s="40">
        <v>0.12</v>
      </c>
      <c r="I12" s="40">
        <v>0.12</v>
      </c>
      <c r="J12" s="40">
        <v>0.12</v>
      </c>
      <c r="K12" s="40">
        <v>0.12</v>
      </c>
      <c r="L12" s="40">
        <v>0.12</v>
      </c>
      <c r="M12" s="40">
        <v>0.12</v>
      </c>
      <c r="N12" s="40">
        <v>0.12</v>
      </c>
      <c r="O12" s="20"/>
      <c r="P12" s="20"/>
    </row>
    <row r="13" spans="1:18" x14ac:dyDescent="0.2">
      <c r="A13" s="38" t="s">
        <v>10</v>
      </c>
      <c r="B13" s="39">
        <f t="shared" si="0"/>
        <v>1</v>
      </c>
      <c r="C13" s="40">
        <v>180</v>
      </c>
      <c r="D13" s="40">
        <v>180</v>
      </c>
      <c r="E13" s="40">
        <v>180</v>
      </c>
      <c r="F13" s="41">
        <v>180</v>
      </c>
      <c r="G13" s="40">
        <v>180</v>
      </c>
      <c r="H13" s="40">
        <v>180</v>
      </c>
      <c r="I13" s="40">
        <v>180</v>
      </c>
      <c r="J13" s="40">
        <v>180</v>
      </c>
      <c r="K13" s="40">
        <v>180</v>
      </c>
      <c r="L13" s="40">
        <v>180</v>
      </c>
      <c r="M13" s="40">
        <v>180</v>
      </c>
      <c r="N13" s="40">
        <v>180</v>
      </c>
    </row>
    <row r="14" spans="1:18" x14ac:dyDescent="0.2">
      <c r="A14" s="38" t="s">
        <v>159</v>
      </c>
      <c r="B14" s="39">
        <v>1</v>
      </c>
      <c r="C14" s="65">
        <v>5.0000000000000001E-3</v>
      </c>
      <c r="D14" s="65">
        <v>5.0000000000000001E-3</v>
      </c>
      <c r="E14" s="65">
        <v>5.0000000000000001E-3</v>
      </c>
      <c r="F14" s="65">
        <v>5.0000000000000001E-3</v>
      </c>
      <c r="G14" s="65">
        <v>5.0000000000000001E-3</v>
      </c>
      <c r="H14" s="65">
        <v>5.0000000000000001E-3</v>
      </c>
      <c r="I14" s="65">
        <v>5.0000000000000001E-3</v>
      </c>
      <c r="J14" s="65">
        <v>5.0000000000000001E-3</v>
      </c>
      <c r="K14" s="65">
        <v>5.0000000000000001E-3</v>
      </c>
      <c r="L14" s="65">
        <v>5.0000000000000001E-3</v>
      </c>
      <c r="M14" s="65">
        <v>5.0000000000000001E-3</v>
      </c>
      <c r="N14" s="65">
        <v>5.0000000000000001E-3</v>
      </c>
    </row>
    <row r="15" spans="1:18" x14ac:dyDescent="0.2">
      <c r="A15" s="38" t="s">
        <v>160</v>
      </c>
      <c r="B15" s="39">
        <v>1</v>
      </c>
      <c r="C15" s="65">
        <v>8.0000000000000002E-3</v>
      </c>
      <c r="D15" s="65">
        <v>8.0000000000000002E-3</v>
      </c>
      <c r="E15" s="65">
        <v>8.0000000000000002E-3</v>
      </c>
      <c r="F15" s="65">
        <v>8.0000000000000002E-3</v>
      </c>
      <c r="G15" s="65">
        <v>8.0000000000000002E-3</v>
      </c>
      <c r="H15" s="65">
        <v>8.0000000000000002E-3</v>
      </c>
      <c r="I15" s="65">
        <v>8.0000000000000002E-3</v>
      </c>
      <c r="J15" s="65">
        <v>8.0000000000000002E-3</v>
      </c>
      <c r="K15" s="65">
        <v>8.0000000000000002E-3</v>
      </c>
      <c r="L15" s="65">
        <v>8.0000000000000002E-3</v>
      </c>
      <c r="M15" s="65">
        <v>8.0000000000000002E-3</v>
      </c>
      <c r="N15" s="65">
        <v>8.0000000000000002E-3</v>
      </c>
    </row>
    <row r="16" spans="1:18" x14ac:dyDescent="0.2">
      <c r="A16" s="14" t="s">
        <v>0</v>
      </c>
      <c r="B16" s="13">
        <v>2</v>
      </c>
      <c r="C16" s="19">
        <v>860</v>
      </c>
      <c r="D16" s="19">
        <v>860</v>
      </c>
      <c r="E16" s="19">
        <v>860</v>
      </c>
      <c r="F16" s="13">
        <v>860</v>
      </c>
      <c r="G16" s="19">
        <v>860</v>
      </c>
      <c r="H16" s="19">
        <v>860</v>
      </c>
      <c r="I16" s="19">
        <v>860</v>
      </c>
      <c r="J16" s="19">
        <v>860</v>
      </c>
      <c r="K16" s="19">
        <v>860</v>
      </c>
      <c r="L16" s="19">
        <v>860</v>
      </c>
      <c r="M16" s="19">
        <v>860</v>
      </c>
      <c r="N16" s="19">
        <v>860</v>
      </c>
    </row>
    <row r="17" spans="1:16" x14ac:dyDescent="0.2">
      <c r="A17" s="14" t="s">
        <v>1</v>
      </c>
      <c r="B17" s="13">
        <v>2</v>
      </c>
      <c r="C17" s="19">
        <v>12.8</v>
      </c>
      <c r="D17" s="19">
        <v>12.8</v>
      </c>
      <c r="E17" s="19">
        <v>12.8</v>
      </c>
      <c r="F17" s="13">
        <v>12.8</v>
      </c>
      <c r="G17" s="19">
        <v>12.8</v>
      </c>
      <c r="H17" s="19">
        <v>12.8</v>
      </c>
      <c r="I17" s="19">
        <v>12.8</v>
      </c>
      <c r="J17" s="19">
        <v>12.8</v>
      </c>
      <c r="K17" s="19">
        <v>12.8</v>
      </c>
      <c r="L17" s="19">
        <v>12.8</v>
      </c>
      <c r="M17" s="19">
        <v>12.8</v>
      </c>
      <c r="N17" s="19">
        <v>12.8</v>
      </c>
      <c r="O17" s="44"/>
      <c r="P17" s="44"/>
    </row>
    <row r="18" spans="1:16" x14ac:dyDescent="0.2">
      <c r="A18" s="14" t="s">
        <v>2</v>
      </c>
      <c r="B18" s="13">
        <v>2</v>
      </c>
      <c r="C18" s="19">
        <v>18.8</v>
      </c>
      <c r="D18" s="19">
        <v>18.8</v>
      </c>
      <c r="E18" s="19">
        <v>18.8</v>
      </c>
      <c r="F18" s="13">
        <v>18.8</v>
      </c>
      <c r="G18" s="19">
        <v>18.8</v>
      </c>
      <c r="H18" s="19">
        <v>18.8</v>
      </c>
      <c r="I18" s="19">
        <v>18.8</v>
      </c>
      <c r="J18" s="19">
        <v>18.8</v>
      </c>
      <c r="K18" s="19">
        <v>18.8</v>
      </c>
      <c r="L18" s="19">
        <v>18.8</v>
      </c>
      <c r="M18" s="19">
        <v>18.8</v>
      </c>
      <c r="N18" s="19">
        <v>18.8</v>
      </c>
      <c r="O18" s="45"/>
      <c r="P18" s="45"/>
    </row>
    <row r="19" spans="1:16" x14ac:dyDescent="0.2">
      <c r="A19" s="14" t="s">
        <v>3</v>
      </c>
      <c r="B19" s="13">
        <v>2</v>
      </c>
      <c r="C19" s="13">
        <v>11</v>
      </c>
      <c r="D19" s="13">
        <v>11</v>
      </c>
      <c r="E19" s="19">
        <v>11</v>
      </c>
      <c r="F19" s="13">
        <v>11</v>
      </c>
      <c r="G19" s="19">
        <v>11</v>
      </c>
      <c r="H19" s="19">
        <v>11</v>
      </c>
      <c r="I19" s="19">
        <v>11</v>
      </c>
      <c r="J19" s="19">
        <v>11</v>
      </c>
      <c r="K19" s="19">
        <v>11</v>
      </c>
      <c r="L19" s="19">
        <v>11</v>
      </c>
      <c r="M19" s="19">
        <v>11</v>
      </c>
      <c r="N19" s="19">
        <v>11</v>
      </c>
      <c r="O19" s="45"/>
      <c r="P19" s="45"/>
    </row>
    <row r="20" spans="1:16" x14ac:dyDescent="0.2">
      <c r="A20" s="14" t="s">
        <v>4</v>
      </c>
      <c r="B20" s="13">
        <v>2</v>
      </c>
      <c r="C20" s="45">
        <v>190</v>
      </c>
      <c r="D20" s="45">
        <v>190</v>
      </c>
      <c r="E20" s="19">
        <v>190</v>
      </c>
      <c r="F20" s="13">
        <v>190</v>
      </c>
      <c r="G20" s="19">
        <v>190</v>
      </c>
      <c r="H20" s="19">
        <v>190</v>
      </c>
      <c r="I20" s="19">
        <v>190</v>
      </c>
      <c r="J20" s="19">
        <v>190</v>
      </c>
      <c r="K20" s="19">
        <v>190</v>
      </c>
      <c r="L20" s="19">
        <v>190</v>
      </c>
      <c r="M20" s="19">
        <v>190</v>
      </c>
      <c r="N20" s="19">
        <v>190</v>
      </c>
    </row>
    <row r="21" spans="1:16" x14ac:dyDescent="0.2">
      <c r="A21" s="14" t="s">
        <v>5</v>
      </c>
      <c r="B21" s="13">
        <v>2</v>
      </c>
      <c r="C21" s="45">
        <v>0.8</v>
      </c>
      <c r="D21" s="45">
        <v>0.8</v>
      </c>
      <c r="E21" s="19">
        <v>0.8</v>
      </c>
      <c r="F21" s="13">
        <v>0.8</v>
      </c>
      <c r="G21" s="19">
        <v>0.8</v>
      </c>
      <c r="H21" s="19">
        <v>0.8</v>
      </c>
      <c r="I21" s="19">
        <v>0.8</v>
      </c>
      <c r="J21" s="19">
        <v>0.8</v>
      </c>
      <c r="K21" s="19">
        <v>0.8</v>
      </c>
      <c r="L21" s="19">
        <v>0.8</v>
      </c>
      <c r="M21" s="19">
        <v>0.8</v>
      </c>
      <c r="N21" s="19">
        <v>0.8</v>
      </c>
      <c r="O21" s="45"/>
      <c r="P21" s="45"/>
    </row>
    <row r="22" spans="1:16" x14ac:dyDescent="0.2">
      <c r="A22" s="14" t="s">
        <v>6</v>
      </c>
      <c r="B22" s="13">
        <v>2</v>
      </c>
      <c r="C22" s="19">
        <v>0.82</v>
      </c>
      <c r="D22" s="19">
        <v>0.82</v>
      </c>
      <c r="E22" s="19">
        <v>0.82</v>
      </c>
      <c r="F22" s="13">
        <v>0.82</v>
      </c>
      <c r="G22" s="19">
        <v>0.82</v>
      </c>
      <c r="H22" s="19">
        <v>0.82</v>
      </c>
      <c r="I22" s="19">
        <v>0.82</v>
      </c>
      <c r="J22" s="19">
        <v>0.82</v>
      </c>
      <c r="K22" s="19">
        <v>0.82</v>
      </c>
      <c r="L22" s="19">
        <v>0.82</v>
      </c>
      <c r="M22" s="19">
        <v>0.82</v>
      </c>
      <c r="N22" s="19">
        <v>0.82</v>
      </c>
      <c r="O22" s="46"/>
      <c r="P22" s="46"/>
    </row>
    <row r="23" spans="1:16" x14ac:dyDescent="0.2">
      <c r="A23" s="14" t="s">
        <v>7</v>
      </c>
      <c r="B23" s="13">
        <v>2</v>
      </c>
      <c r="C23" s="45">
        <v>0.34</v>
      </c>
      <c r="D23" s="45">
        <v>0.34</v>
      </c>
      <c r="E23" s="19">
        <v>0.34</v>
      </c>
      <c r="F23" s="13">
        <v>0.34</v>
      </c>
      <c r="G23" s="19">
        <v>0.34</v>
      </c>
      <c r="H23" s="19">
        <v>0.34</v>
      </c>
      <c r="I23" s="19">
        <v>0.34</v>
      </c>
      <c r="J23" s="19">
        <v>0.34</v>
      </c>
      <c r="K23" s="19">
        <v>0.34</v>
      </c>
      <c r="L23" s="19">
        <v>0.34</v>
      </c>
      <c r="M23" s="19">
        <v>0.34</v>
      </c>
      <c r="N23" s="19">
        <v>0.34</v>
      </c>
      <c r="O23" s="47"/>
      <c r="P23" s="47"/>
    </row>
    <row r="24" spans="1:16" x14ac:dyDescent="0.2">
      <c r="A24" s="14" t="s">
        <v>8</v>
      </c>
      <c r="B24" s="13">
        <v>2</v>
      </c>
      <c r="C24" s="46">
        <v>0.57999999999999996</v>
      </c>
      <c r="D24" s="46">
        <v>0.57999999999999996</v>
      </c>
      <c r="E24" s="19">
        <v>0.57999999999999996</v>
      </c>
      <c r="F24" s="13">
        <v>0.57999999999999996</v>
      </c>
      <c r="G24" s="19">
        <v>0.57999999999999996</v>
      </c>
      <c r="H24" s="19">
        <v>0.57999999999999996</v>
      </c>
      <c r="I24" s="19">
        <v>0.57999999999999996</v>
      </c>
      <c r="J24" s="19">
        <v>0.57999999999999996</v>
      </c>
      <c r="K24" s="19">
        <v>0.57999999999999996</v>
      </c>
      <c r="L24" s="19">
        <v>0.57999999999999996</v>
      </c>
      <c r="M24" s="19">
        <v>0.57999999999999996</v>
      </c>
      <c r="N24" s="19">
        <v>0.57999999999999996</v>
      </c>
      <c r="O24" s="47"/>
      <c r="P24" s="47"/>
    </row>
    <row r="25" spans="1:16" x14ac:dyDescent="0.2">
      <c r="A25" s="14" t="s">
        <v>9</v>
      </c>
      <c r="B25" s="13">
        <v>2</v>
      </c>
      <c r="C25" s="47">
        <v>0.14000000000000001</v>
      </c>
      <c r="D25" s="47">
        <v>0.14000000000000001</v>
      </c>
      <c r="E25" s="19">
        <v>0.14000000000000001</v>
      </c>
      <c r="F25" s="13">
        <v>0.14000000000000001</v>
      </c>
      <c r="G25" s="19">
        <v>0.14000000000000001</v>
      </c>
      <c r="H25" s="19">
        <v>0.14000000000000001</v>
      </c>
      <c r="I25" s="19">
        <v>0.14000000000000001</v>
      </c>
      <c r="J25" s="19">
        <v>0.14000000000000001</v>
      </c>
      <c r="K25" s="19">
        <v>0.14000000000000001</v>
      </c>
      <c r="L25" s="19">
        <v>0.14000000000000001</v>
      </c>
      <c r="M25" s="19">
        <v>0.14000000000000001</v>
      </c>
      <c r="N25" s="19">
        <v>0.14000000000000001</v>
      </c>
      <c r="O25" s="47"/>
      <c r="P25" s="47"/>
    </row>
    <row r="26" spans="1:16" x14ac:dyDescent="0.2">
      <c r="A26" s="14" t="s">
        <v>10</v>
      </c>
      <c r="B26" s="13">
        <v>2</v>
      </c>
      <c r="C26" s="47">
        <v>180</v>
      </c>
      <c r="D26" s="47">
        <v>180</v>
      </c>
      <c r="E26" s="19">
        <v>180</v>
      </c>
      <c r="F26" s="13">
        <v>180</v>
      </c>
      <c r="G26" s="19">
        <v>180</v>
      </c>
      <c r="H26" s="19">
        <v>180</v>
      </c>
      <c r="I26" s="19">
        <v>180</v>
      </c>
      <c r="J26" s="19">
        <v>180</v>
      </c>
      <c r="K26" s="19">
        <v>180</v>
      </c>
      <c r="L26" s="19">
        <v>180</v>
      </c>
      <c r="M26" s="19">
        <v>180</v>
      </c>
      <c r="N26" s="19">
        <v>180</v>
      </c>
      <c r="O26" s="45"/>
      <c r="P26" s="45"/>
    </row>
    <row r="27" spans="1:16" x14ac:dyDescent="0.2">
      <c r="A27" s="14" t="s">
        <v>161</v>
      </c>
      <c r="B27" s="13">
        <v>2</v>
      </c>
      <c r="C27" s="7">
        <v>5.0000000000000001E-3</v>
      </c>
      <c r="D27" s="7">
        <v>5.0000000000000001E-3</v>
      </c>
      <c r="E27" s="7">
        <v>5.0000000000000001E-3</v>
      </c>
      <c r="F27" s="7">
        <v>5.0000000000000001E-3</v>
      </c>
      <c r="G27" s="7">
        <v>5.0000000000000001E-3</v>
      </c>
      <c r="H27" s="7">
        <v>5.0000000000000001E-3</v>
      </c>
      <c r="I27" s="7">
        <v>5.0000000000000001E-3</v>
      </c>
      <c r="J27" s="7">
        <v>5.0000000000000001E-3</v>
      </c>
      <c r="K27" s="7">
        <v>5.0000000000000001E-3</v>
      </c>
      <c r="L27" s="7">
        <v>5.0000000000000001E-3</v>
      </c>
      <c r="M27" s="7">
        <v>5.0000000000000001E-3</v>
      </c>
      <c r="N27" s="7">
        <v>5.0000000000000001E-3</v>
      </c>
      <c r="O27" s="45"/>
      <c r="P27" s="45"/>
    </row>
    <row r="28" spans="1:16" x14ac:dyDescent="0.2">
      <c r="A28" s="14" t="s">
        <v>160</v>
      </c>
      <c r="B28" s="13">
        <v>2</v>
      </c>
      <c r="C28" s="7">
        <v>8.0000000000000002E-3</v>
      </c>
      <c r="D28" s="7">
        <v>8.0000000000000002E-3</v>
      </c>
      <c r="E28" s="7">
        <v>8.0000000000000002E-3</v>
      </c>
      <c r="F28" s="7">
        <v>8.0000000000000002E-3</v>
      </c>
      <c r="G28" s="7">
        <v>8.0000000000000002E-3</v>
      </c>
      <c r="H28" s="7">
        <v>8.0000000000000002E-3</v>
      </c>
      <c r="I28" s="7">
        <v>8.0000000000000002E-3</v>
      </c>
      <c r="J28" s="7">
        <v>8.0000000000000002E-3</v>
      </c>
      <c r="K28" s="7">
        <v>8.0000000000000002E-3</v>
      </c>
      <c r="L28" s="7">
        <v>8.0000000000000002E-3</v>
      </c>
      <c r="M28" s="7">
        <v>8.0000000000000002E-3</v>
      </c>
      <c r="N28" s="7">
        <v>8.0000000000000002E-3</v>
      </c>
      <c r="O28" s="45"/>
      <c r="P28" s="45"/>
    </row>
    <row r="29" spans="1:16" x14ac:dyDescent="0.2">
      <c r="A29" s="38" t="s">
        <v>0</v>
      </c>
      <c r="B29" s="39">
        <v>3</v>
      </c>
      <c r="C29" s="49">
        <v>860</v>
      </c>
      <c r="D29" s="49">
        <v>860</v>
      </c>
      <c r="E29" s="40">
        <v>860</v>
      </c>
      <c r="F29" s="41">
        <v>860</v>
      </c>
      <c r="G29" s="40">
        <v>860</v>
      </c>
      <c r="H29" s="40">
        <v>860</v>
      </c>
      <c r="I29" s="40">
        <v>860</v>
      </c>
      <c r="J29" s="40">
        <v>860</v>
      </c>
      <c r="K29" s="40">
        <v>860</v>
      </c>
      <c r="L29" s="40">
        <v>860</v>
      </c>
      <c r="M29" s="40">
        <v>860</v>
      </c>
      <c r="N29" s="40">
        <v>860</v>
      </c>
      <c r="O29" s="45"/>
      <c r="P29" s="45"/>
    </row>
    <row r="30" spans="1:16" x14ac:dyDescent="0.2">
      <c r="A30" s="38" t="s">
        <v>1</v>
      </c>
      <c r="B30" s="39">
        <v>3</v>
      </c>
      <c r="C30" s="50">
        <v>13</v>
      </c>
      <c r="D30" s="50">
        <v>13</v>
      </c>
      <c r="E30" s="40">
        <v>13</v>
      </c>
      <c r="F30" s="41">
        <v>13</v>
      </c>
      <c r="G30" s="40">
        <v>13</v>
      </c>
      <c r="H30" s="40">
        <v>13</v>
      </c>
      <c r="I30" s="40">
        <v>13</v>
      </c>
      <c r="J30" s="40">
        <v>13</v>
      </c>
      <c r="K30" s="40">
        <v>13</v>
      </c>
      <c r="L30" s="40">
        <v>13</v>
      </c>
      <c r="M30" s="40">
        <v>13</v>
      </c>
      <c r="N30" s="40">
        <v>13</v>
      </c>
      <c r="O30" s="45"/>
      <c r="P30" s="45"/>
    </row>
    <row r="31" spans="1:16" x14ac:dyDescent="0.2">
      <c r="A31" s="38" t="s">
        <v>2</v>
      </c>
      <c r="B31" s="39">
        <v>3</v>
      </c>
      <c r="C31" s="50">
        <v>18.8</v>
      </c>
      <c r="D31" s="50">
        <v>18.8</v>
      </c>
      <c r="E31" s="40">
        <v>18.8</v>
      </c>
      <c r="F31" s="41">
        <v>18.8</v>
      </c>
      <c r="G31" s="40">
        <v>18.8</v>
      </c>
      <c r="H31" s="40">
        <v>18.8</v>
      </c>
      <c r="I31" s="40">
        <v>18.8</v>
      </c>
      <c r="J31" s="40">
        <v>18.8</v>
      </c>
      <c r="K31" s="40">
        <v>18.8</v>
      </c>
      <c r="L31" s="40">
        <v>18.8</v>
      </c>
      <c r="M31" s="40">
        <v>18.8</v>
      </c>
      <c r="N31" s="40">
        <v>18.8</v>
      </c>
      <c r="O31" s="45"/>
      <c r="P31" s="45"/>
    </row>
    <row r="32" spans="1:16" x14ac:dyDescent="0.2">
      <c r="A32" s="38" t="s">
        <v>3</v>
      </c>
      <c r="B32" s="39">
        <v>3</v>
      </c>
      <c r="C32" s="50">
        <v>10.3</v>
      </c>
      <c r="D32" s="50">
        <v>10.3</v>
      </c>
      <c r="E32" s="40">
        <v>10.3</v>
      </c>
      <c r="F32" s="41">
        <v>10.3</v>
      </c>
      <c r="G32" s="40">
        <v>10.3</v>
      </c>
      <c r="H32" s="40">
        <v>10.3</v>
      </c>
      <c r="I32" s="40">
        <v>10.3</v>
      </c>
      <c r="J32" s="40">
        <v>10.3</v>
      </c>
      <c r="K32" s="40">
        <v>10.3</v>
      </c>
      <c r="L32" s="40">
        <v>10.3</v>
      </c>
      <c r="M32" s="40">
        <v>10.3</v>
      </c>
      <c r="N32" s="40">
        <v>10.3</v>
      </c>
      <c r="O32" s="45"/>
      <c r="P32" s="45"/>
    </row>
    <row r="33" spans="1:20" x14ac:dyDescent="0.2">
      <c r="A33" s="38" t="s">
        <v>4</v>
      </c>
      <c r="B33" s="39">
        <v>3</v>
      </c>
      <c r="C33" s="50">
        <v>205</v>
      </c>
      <c r="D33" s="50">
        <v>205</v>
      </c>
      <c r="E33" s="40">
        <v>205</v>
      </c>
      <c r="F33" s="41">
        <v>205</v>
      </c>
      <c r="G33" s="40">
        <v>205</v>
      </c>
      <c r="H33" s="40">
        <v>205</v>
      </c>
      <c r="I33" s="40">
        <v>205</v>
      </c>
      <c r="J33" s="40">
        <v>205</v>
      </c>
      <c r="K33" s="40">
        <v>205</v>
      </c>
      <c r="L33" s="40">
        <v>205</v>
      </c>
      <c r="M33" s="40">
        <v>205</v>
      </c>
      <c r="N33" s="40">
        <v>205</v>
      </c>
      <c r="O33" s="45"/>
      <c r="P33" s="45"/>
    </row>
    <row r="34" spans="1:20" x14ac:dyDescent="0.2">
      <c r="A34" s="38" t="s">
        <v>5</v>
      </c>
      <c r="B34" s="39">
        <v>3</v>
      </c>
      <c r="C34" s="50">
        <v>0.9</v>
      </c>
      <c r="D34" s="50">
        <v>0.9</v>
      </c>
      <c r="E34" s="40">
        <v>0.9</v>
      </c>
      <c r="F34" s="41">
        <v>0.9</v>
      </c>
      <c r="G34" s="40">
        <v>0.9</v>
      </c>
      <c r="H34" s="40">
        <v>0.9</v>
      </c>
      <c r="I34" s="40">
        <v>0.9</v>
      </c>
      <c r="J34" s="40">
        <v>0.9</v>
      </c>
      <c r="K34" s="40">
        <v>0.9</v>
      </c>
      <c r="L34" s="40">
        <v>0.9</v>
      </c>
      <c r="M34" s="40">
        <v>0.9</v>
      </c>
      <c r="N34" s="40">
        <v>0.9</v>
      </c>
      <c r="O34" s="45"/>
      <c r="P34" s="45"/>
    </row>
    <row r="35" spans="1:20" x14ac:dyDescent="0.2">
      <c r="A35" s="38" t="s">
        <v>6</v>
      </c>
      <c r="B35" s="39">
        <v>3</v>
      </c>
      <c r="C35" s="50">
        <v>0.83</v>
      </c>
      <c r="D35" s="50">
        <v>0.83</v>
      </c>
      <c r="E35" s="40">
        <v>0.83</v>
      </c>
      <c r="F35" s="41">
        <v>0.83</v>
      </c>
      <c r="G35" s="40">
        <v>0.83</v>
      </c>
      <c r="H35" s="40">
        <v>0.83</v>
      </c>
      <c r="I35" s="40">
        <v>0.83</v>
      </c>
      <c r="J35" s="40">
        <v>0.83</v>
      </c>
      <c r="K35" s="40">
        <v>0.83</v>
      </c>
      <c r="L35" s="40">
        <v>0.83</v>
      </c>
      <c r="M35" s="40">
        <v>0.83</v>
      </c>
      <c r="N35" s="40">
        <v>0.83</v>
      </c>
      <c r="O35" s="46"/>
      <c r="P35" s="46"/>
    </row>
    <row r="36" spans="1:20" x14ac:dyDescent="0.2">
      <c r="A36" s="38" t="s">
        <v>7</v>
      </c>
      <c r="B36" s="39">
        <v>3</v>
      </c>
      <c r="C36" s="50">
        <v>0.33</v>
      </c>
      <c r="D36" s="50">
        <v>0.33</v>
      </c>
      <c r="E36" s="40">
        <v>0.33</v>
      </c>
      <c r="F36" s="41">
        <v>0.33</v>
      </c>
      <c r="G36" s="40">
        <v>0.33</v>
      </c>
      <c r="H36" s="40">
        <v>0.33</v>
      </c>
      <c r="I36" s="40">
        <v>0.33</v>
      </c>
      <c r="J36" s="40">
        <v>0.33</v>
      </c>
      <c r="K36" s="40">
        <v>0.33</v>
      </c>
      <c r="L36" s="40">
        <v>0.33</v>
      </c>
      <c r="M36" s="40">
        <v>0.33</v>
      </c>
      <c r="N36" s="40">
        <v>0.33</v>
      </c>
      <c r="O36" s="20"/>
      <c r="P36" s="20"/>
      <c r="Q36" s="20"/>
      <c r="R36" s="20"/>
      <c r="T36" s="13"/>
    </row>
    <row r="37" spans="1:20" x14ac:dyDescent="0.2">
      <c r="A37" s="38" t="s">
        <v>8</v>
      </c>
      <c r="B37" s="39">
        <v>3</v>
      </c>
      <c r="C37" s="50">
        <v>0.56000000000000005</v>
      </c>
      <c r="D37" s="50">
        <v>0.56000000000000005</v>
      </c>
      <c r="E37" s="40">
        <v>0.56000000000000005</v>
      </c>
      <c r="F37" s="41">
        <v>0.56000000000000005</v>
      </c>
      <c r="G37" s="40">
        <v>0.56000000000000005</v>
      </c>
      <c r="H37" s="40">
        <v>0.56000000000000005</v>
      </c>
      <c r="I37" s="40">
        <v>0.56000000000000005</v>
      </c>
      <c r="J37" s="40">
        <v>0.56000000000000005</v>
      </c>
      <c r="K37" s="40">
        <v>0.56000000000000005</v>
      </c>
      <c r="L37" s="40">
        <v>0.56000000000000005</v>
      </c>
      <c r="M37" s="40">
        <v>0.56000000000000005</v>
      </c>
      <c r="N37" s="40">
        <v>0.56000000000000005</v>
      </c>
      <c r="O37" s="20"/>
      <c r="P37" s="20"/>
      <c r="Q37" s="20"/>
      <c r="R37" s="20"/>
      <c r="T37" s="13"/>
    </row>
    <row r="38" spans="1:20" x14ac:dyDescent="0.2">
      <c r="A38" s="38" t="s">
        <v>9</v>
      </c>
      <c r="B38" s="39">
        <v>3</v>
      </c>
      <c r="C38" s="50">
        <v>0.21</v>
      </c>
      <c r="D38" s="50">
        <v>0.21</v>
      </c>
      <c r="E38" s="40">
        <v>0.21</v>
      </c>
      <c r="F38" s="41">
        <v>0.21</v>
      </c>
      <c r="G38" s="40">
        <v>0.21</v>
      </c>
      <c r="H38" s="40">
        <v>0.21</v>
      </c>
      <c r="I38" s="40">
        <v>0.21</v>
      </c>
      <c r="J38" s="40">
        <v>0.21</v>
      </c>
      <c r="K38" s="40">
        <v>0.21</v>
      </c>
      <c r="L38" s="40">
        <v>0.21</v>
      </c>
      <c r="M38" s="40">
        <v>0.21</v>
      </c>
      <c r="N38" s="40">
        <v>0.21</v>
      </c>
      <c r="O38" s="20"/>
      <c r="P38" s="20"/>
      <c r="Q38" s="20"/>
      <c r="R38" s="20"/>
      <c r="T38" s="13"/>
    </row>
    <row r="39" spans="1:20" x14ac:dyDescent="0.2">
      <c r="A39" s="38" t="s">
        <v>10</v>
      </c>
      <c r="B39" s="39">
        <v>3</v>
      </c>
      <c r="C39" s="51">
        <v>180</v>
      </c>
      <c r="D39" s="51">
        <v>180</v>
      </c>
      <c r="E39" s="40">
        <v>180</v>
      </c>
      <c r="F39" s="41">
        <v>180</v>
      </c>
      <c r="G39" s="40">
        <v>180</v>
      </c>
      <c r="H39" s="40">
        <v>180</v>
      </c>
      <c r="I39" s="40">
        <v>180</v>
      </c>
      <c r="J39" s="40">
        <v>180</v>
      </c>
      <c r="K39" s="40">
        <v>180</v>
      </c>
      <c r="L39" s="40">
        <v>180</v>
      </c>
      <c r="M39" s="40">
        <v>180</v>
      </c>
      <c r="N39" s="40">
        <v>180</v>
      </c>
      <c r="O39" s="45"/>
      <c r="P39" s="45"/>
      <c r="Q39" s="45"/>
      <c r="R39" s="45"/>
      <c r="T39" s="13"/>
    </row>
    <row r="40" spans="1:20" x14ac:dyDescent="0.2">
      <c r="A40" s="38" t="s">
        <v>159</v>
      </c>
      <c r="B40" s="39">
        <v>3</v>
      </c>
      <c r="C40" s="65">
        <v>5.0000000000000001E-3</v>
      </c>
      <c r="D40" s="65">
        <v>5.0000000000000001E-3</v>
      </c>
      <c r="E40" s="65">
        <v>5.0000000000000001E-3</v>
      </c>
      <c r="F40" s="65">
        <v>5.0000000000000001E-3</v>
      </c>
      <c r="G40" s="65">
        <v>5.0000000000000001E-3</v>
      </c>
      <c r="H40" s="65">
        <v>5.0000000000000001E-3</v>
      </c>
      <c r="I40" s="65">
        <v>5.0000000000000001E-3</v>
      </c>
      <c r="J40" s="65">
        <v>5.0000000000000001E-3</v>
      </c>
      <c r="K40" s="65">
        <v>5.0000000000000001E-3</v>
      </c>
      <c r="L40" s="65">
        <v>5.0000000000000001E-3</v>
      </c>
      <c r="M40" s="65">
        <v>5.0000000000000001E-3</v>
      </c>
      <c r="N40" s="65">
        <v>5.0000000000000001E-3</v>
      </c>
      <c r="O40" s="45"/>
      <c r="P40" s="45"/>
      <c r="Q40" s="45"/>
      <c r="R40" s="45"/>
    </row>
    <row r="41" spans="1:20" x14ac:dyDescent="0.2">
      <c r="A41" s="38" t="s">
        <v>160</v>
      </c>
      <c r="B41" s="39">
        <v>3</v>
      </c>
      <c r="C41" s="65">
        <v>8.0000000000000002E-3</v>
      </c>
      <c r="D41" s="65">
        <v>8.0000000000000002E-3</v>
      </c>
      <c r="E41" s="65">
        <v>8.0000000000000002E-3</v>
      </c>
      <c r="F41" s="65">
        <v>8.0000000000000002E-3</v>
      </c>
      <c r="G41" s="65">
        <v>8.0000000000000002E-3</v>
      </c>
      <c r="H41" s="65">
        <v>8.0000000000000002E-3</v>
      </c>
      <c r="I41" s="65">
        <v>8.0000000000000002E-3</v>
      </c>
      <c r="J41" s="65">
        <v>8.0000000000000002E-3</v>
      </c>
      <c r="K41" s="65">
        <v>8.0000000000000002E-3</v>
      </c>
      <c r="L41" s="65">
        <v>8.0000000000000002E-3</v>
      </c>
      <c r="M41" s="65">
        <v>8.0000000000000002E-3</v>
      </c>
      <c r="N41" s="65">
        <v>8.0000000000000002E-3</v>
      </c>
      <c r="O41" s="45"/>
      <c r="P41" s="45"/>
      <c r="Q41" s="45"/>
      <c r="R41" s="45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>
    <tabColor indexed="42"/>
  </sheetPr>
  <dimension ref="A1:S177"/>
  <sheetViews>
    <sheetView zoomScale="85" workbookViewId="0">
      <selection activeCell="B3" sqref="B3:N80"/>
    </sheetView>
  </sheetViews>
  <sheetFormatPr defaultColWidth="11.42578125" defaultRowHeight="12.75" x14ac:dyDescent="0.2"/>
  <cols>
    <col min="1" max="1" width="19.140625" style="13" bestFit="1" customWidth="1"/>
    <col min="2" max="14" width="11.42578125" style="13"/>
    <col min="15" max="16384" width="11.42578125" style="19"/>
  </cols>
  <sheetData>
    <row r="1" spans="1:17" x14ac:dyDescent="0.2">
      <c r="C1" s="52" t="s">
        <v>164</v>
      </c>
      <c r="D1" s="52" t="s">
        <v>165</v>
      </c>
      <c r="E1" s="52" t="s">
        <v>150</v>
      </c>
      <c r="F1" s="52" t="s">
        <v>166</v>
      </c>
      <c r="G1" s="52" t="s">
        <v>148</v>
      </c>
      <c r="H1" s="52" t="s">
        <v>167</v>
      </c>
      <c r="I1" s="52" t="s">
        <v>149</v>
      </c>
      <c r="J1" s="52" t="s">
        <v>168</v>
      </c>
      <c r="K1" s="52" t="s">
        <v>169</v>
      </c>
      <c r="L1" s="52" t="s">
        <v>152</v>
      </c>
      <c r="M1" s="52" t="s">
        <v>170</v>
      </c>
      <c r="N1" s="52" t="s">
        <v>153</v>
      </c>
      <c r="O1" s="37"/>
      <c r="P1" s="37"/>
      <c r="Q1" s="37"/>
    </row>
    <row r="2" spans="1:17" x14ac:dyDescent="0.2">
      <c r="A2" s="14" t="s">
        <v>127</v>
      </c>
      <c r="B2" s="14" t="s">
        <v>158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/>
      <c r="P2" s="14"/>
      <c r="Q2" s="14"/>
    </row>
    <row r="3" spans="1:17" x14ac:dyDescent="0.2">
      <c r="A3" s="38" t="s">
        <v>0</v>
      </c>
      <c r="B3" s="39">
        <v>1</v>
      </c>
      <c r="C3" s="41">
        <v>865</v>
      </c>
      <c r="D3" s="41">
        <v>865</v>
      </c>
      <c r="E3" s="41">
        <v>865</v>
      </c>
      <c r="F3" s="41">
        <v>865</v>
      </c>
      <c r="G3" s="41">
        <v>865</v>
      </c>
      <c r="H3" s="41">
        <v>865</v>
      </c>
      <c r="I3" s="41">
        <v>865</v>
      </c>
      <c r="J3" s="41">
        <v>865</v>
      </c>
      <c r="K3" s="41">
        <v>865</v>
      </c>
      <c r="L3" s="41">
        <v>865</v>
      </c>
      <c r="M3" s="41">
        <v>865</v>
      </c>
      <c r="N3" s="41">
        <v>865</v>
      </c>
      <c r="O3" s="53"/>
    </row>
    <row r="4" spans="1:17" x14ac:dyDescent="0.2">
      <c r="A4" s="38" t="s">
        <v>1</v>
      </c>
      <c r="B4" s="39">
        <v>1</v>
      </c>
      <c r="C4" s="41">
        <v>13.3</v>
      </c>
      <c r="D4" s="41">
        <v>13.3</v>
      </c>
      <c r="E4" s="41">
        <v>13.3</v>
      </c>
      <c r="F4" s="41">
        <v>13.3</v>
      </c>
      <c r="G4" s="41">
        <v>13.3</v>
      </c>
      <c r="H4" s="41">
        <v>13.3</v>
      </c>
      <c r="I4" s="41">
        <v>13.3</v>
      </c>
      <c r="J4" s="41">
        <v>13.3</v>
      </c>
      <c r="K4" s="41">
        <v>13.3</v>
      </c>
      <c r="L4" s="41">
        <v>13.3</v>
      </c>
      <c r="M4" s="41">
        <v>13.3</v>
      </c>
      <c r="N4" s="41">
        <v>13.3</v>
      </c>
      <c r="O4" s="13"/>
    </row>
    <row r="5" spans="1:17" x14ac:dyDescent="0.2">
      <c r="A5" s="38" t="s">
        <v>2</v>
      </c>
      <c r="B5" s="39">
        <v>1</v>
      </c>
      <c r="C5" s="41">
        <v>23</v>
      </c>
      <c r="D5" s="41">
        <v>23</v>
      </c>
      <c r="E5" s="41">
        <v>23</v>
      </c>
      <c r="F5" s="41">
        <v>23</v>
      </c>
      <c r="G5" s="41">
        <v>23</v>
      </c>
      <c r="H5" s="41">
        <v>23</v>
      </c>
      <c r="I5" s="41">
        <v>23</v>
      </c>
      <c r="J5" s="41">
        <v>23</v>
      </c>
      <c r="K5" s="41">
        <v>23</v>
      </c>
      <c r="L5" s="41">
        <v>23</v>
      </c>
      <c r="M5" s="41">
        <v>23</v>
      </c>
      <c r="N5" s="41">
        <v>23</v>
      </c>
      <c r="O5" s="13"/>
    </row>
    <row r="6" spans="1:17" x14ac:dyDescent="0.2">
      <c r="A6" s="38" t="s">
        <v>3</v>
      </c>
      <c r="B6" s="39">
        <v>1</v>
      </c>
      <c r="C6" s="41">
        <v>12.7</v>
      </c>
      <c r="D6" s="41">
        <v>12.7</v>
      </c>
      <c r="E6" s="41">
        <v>12.7</v>
      </c>
      <c r="F6" s="41">
        <v>12.7</v>
      </c>
      <c r="G6" s="41">
        <v>12.7</v>
      </c>
      <c r="H6" s="41">
        <v>12.7</v>
      </c>
      <c r="I6" s="41">
        <v>12.7</v>
      </c>
      <c r="J6" s="41">
        <v>12.7</v>
      </c>
      <c r="K6" s="41">
        <v>12.7</v>
      </c>
      <c r="L6" s="41">
        <v>12.7</v>
      </c>
      <c r="M6" s="41">
        <v>12.7</v>
      </c>
      <c r="N6" s="41">
        <v>12.7</v>
      </c>
      <c r="O6" s="13"/>
    </row>
    <row r="7" spans="1:17" x14ac:dyDescent="0.2">
      <c r="A7" s="38" t="s">
        <v>4</v>
      </c>
      <c r="B7" s="39">
        <v>1</v>
      </c>
      <c r="C7" s="41">
        <v>300</v>
      </c>
      <c r="D7" s="41">
        <v>300</v>
      </c>
      <c r="E7" s="41">
        <v>300</v>
      </c>
      <c r="F7" s="41">
        <v>300</v>
      </c>
      <c r="G7" s="41">
        <v>300</v>
      </c>
      <c r="H7" s="41">
        <v>300</v>
      </c>
      <c r="I7" s="41">
        <v>300</v>
      </c>
      <c r="J7" s="41">
        <v>300</v>
      </c>
      <c r="K7" s="41">
        <v>300</v>
      </c>
      <c r="L7" s="41">
        <v>300</v>
      </c>
      <c r="M7" s="41">
        <v>300</v>
      </c>
      <c r="N7" s="41">
        <v>300</v>
      </c>
      <c r="O7" s="13"/>
    </row>
    <row r="8" spans="1:17" x14ac:dyDescent="0.2">
      <c r="A8" s="38" t="s">
        <v>5</v>
      </c>
      <c r="B8" s="39">
        <v>1</v>
      </c>
      <c r="C8" s="41">
        <v>0.5</v>
      </c>
      <c r="D8" s="41">
        <v>0.5</v>
      </c>
      <c r="E8" s="41">
        <v>0.5</v>
      </c>
      <c r="F8" s="41">
        <v>0.5</v>
      </c>
      <c r="G8" s="41">
        <v>0.5</v>
      </c>
      <c r="H8" s="41">
        <v>0.5</v>
      </c>
      <c r="I8" s="41">
        <v>0.5</v>
      </c>
      <c r="J8" s="41">
        <v>0.5</v>
      </c>
      <c r="K8" s="41">
        <v>0.5</v>
      </c>
      <c r="L8" s="41">
        <v>0.5</v>
      </c>
      <c r="M8" s="41">
        <v>0.5</v>
      </c>
      <c r="N8" s="41">
        <v>0.5</v>
      </c>
      <c r="O8" s="32"/>
    </row>
    <row r="9" spans="1:17" x14ac:dyDescent="0.2">
      <c r="A9" s="38" t="s">
        <v>6</v>
      </c>
      <c r="B9" s="39">
        <v>1</v>
      </c>
      <c r="C9" s="41">
        <v>0.73</v>
      </c>
      <c r="D9" s="41">
        <v>0.73</v>
      </c>
      <c r="E9" s="41">
        <v>0.73</v>
      </c>
      <c r="F9" s="41">
        <v>0.73</v>
      </c>
      <c r="G9" s="41">
        <v>0.73</v>
      </c>
      <c r="H9" s="41">
        <v>0.73</v>
      </c>
      <c r="I9" s="41">
        <v>0.73</v>
      </c>
      <c r="J9" s="41">
        <v>0.73</v>
      </c>
      <c r="K9" s="41">
        <v>0.73</v>
      </c>
      <c r="L9" s="41">
        <v>0.73</v>
      </c>
      <c r="M9" s="41">
        <v>0.73</v>
      </c>
      <c r="N9" s="41">
        <v>0.73</v>
      </c>
      <c r="O9" s="13"/>
    </row>
    <row r="10" spans="1:17" x14ac:dyDescent="0.2">
      <c r="A10" s="38" t="s">
        <v>7</v>
      </c>
      <c r="B10" s="39">
        <v>1</v>
      </c>
      <c r="C10" s="54">
        <v>0.42</v>
      </c>
      <c r="D10" s="54">
        <v>0.42</v>
      </c>
      <c r="E10" s="41">
        <v>0.42</v>
      </c>
      <c r="F10" s="41">
        <v>0.42</v>
      </c>
      <c r="G10" s="41">
        <v>0.42</v>
      </c>
      <c r="H10" s="41">
        <v>0.42</v>
      </c>
      <c r="I10" s="41">
        <v>0.42</v>
      </c>
      <c r="J10" s="41">
        <v>0.42</v>
      </c>
      <c r="K10" s="41">
        <v>0.42</v>
      </c>
      <c r="L10" s="41">
        <v>0.42</v>
      </c>
      <c r="M10" s="41">
        <v>0.42</v>
      </c>
      <c r="N10" s="41">
        <v>0.42</v>
      </c>
      <c r="O10" s="20"/>
    </row>
    <row r="11" spans="1:17" x14ac:dyDescent="0.2">
      <c r="A11" s="38" t="s">
        <v>8</v>
      </c>
      <c r="B11" s="39">
        <v>1</v>
      </c>
      <c r="C11" s="54">
        <v>0.6</v>
      </c>
      <c r="D11" s="54">
        <v>0.6</v>
      </c>
      <c r="E11" s="41">
        <v>0.6</v>
      </c>
      <c r="F11" s="41">
        <v>0.6</v>
      </c>
      <c r="G11" s="41">
        <v>0.6</v>
      </c>
      <c r="H11" s="41">
        <v>0.6</v>
      </c>
      <c r="I11" s="41">
        <v>0.6</v>
      </c>
      <c r="J11" s="41">
        <v>0.6</v>
      </c>
      <c r="K11" s="41">
        <v>0.6</v>
      </c>
      <c r="L11" s="41">
        <v>0.6</v>
      </c>
      <c r="M11" s="41">
        <v>0.6</v>
      </c>
      <c r="N11" s="41">
        <v>0.6</v>
      </c>
      <c r="O11" s="20"/>
    </row>
    <row r="12" spans="1:17" x14ac:dyDescent="0.2">
      <c r="A12" s="38" t="s">
        <v>9</v>
      </c>
      <c r="B12" s="39">
        <v>1</v>
      </c>
      <c r="C12" s="54">
        <v>0.1</v>
      </c>
      <c r="D12" s="54">
        <v>0.1</v>
      </c>
      <c r="E12" s="41">
        <v>0.1</v>
      </c>
      <c r="F12" s="41">
        <v>0.1</v>
      </c>
      <c r="G12" s="41">
        <v>0.1</v>
      </c>
      <c r="H12" s="41">
        <v>0.1</v>
      </c>
      <c r="I12" s="41">
        <v>0.1</v>
      </c>
      <c r="J12" s="41">
        <v>0.1</v>
      </c>
      <c r="K12" s="41">
        <v>0.1</v>
      </c>
      <c r="L12" s="41">
        <v>0.1</v>
      </c>
      <c r="M12" s="41">
        <v>0.1</v>
      </c>
      <c r="N12" s="41">
        <v>0.1</v>
      </c>
      <c r="O12" s="20"/>
    </row>
    <row r="13" spans="1:17" x14ac:dyDescent="0.2">
      <c r="A13" s="38" t="s">
        <v>10</v>
      </c>
      <c r="B13" s="39">
        <v>1</v>
      </c>
      <c r="C13" s="41">
        <v>380</v>
      </c>
      <c r="D13" s="41">
        <v>380</v>
      </c>
      <c r="E13" s="41">
        <v>380</v>
      </c>
      <c r="F13" s="41">
        <v>380</v>
      </c>
      <c r="G13" s="41">
        <v>380</v>
      </c>
      <c r="H13" s="41">
        <v>380</v>
      </c>
      <c r="I13" s="41">
        <v>380</v>
      </c>
      <c r="J13" s="41">
        <v>380</v>
      </c>
      <c r="K13" s="41">
        <v>380</v>
      </c>
      <c r="L13" s="41">
        <v>380</v>
      </c>
      <c r="M13" s="41">
        <v>380</v>
      </c>
      <c r="N13" s="41">
        <v>380</v>
      </c>
      <c r="O13" s="13"/>
    </row>
    <row r="14" spans="1:17" x14ac:dyDescent="0.2">
      <c r="A14" s="38" t="s">
        <v>159</v>
      </c>
      <c r="B14" s="39">
        <v>1</v>
      </c>
      <c r="C14" s="39">
        <v>1E-3</v>
      </c>
      <c r="D14" s="39">
        <v>1E-3</v>
      </c>
      <c r="E14" s="39">
        <v>1E-3</v>
      </c>
      <c r="F14" s="39">
        <v>1E-3</v>
      </c>
      <c r="G14" s="39">
        <v>1E-3</v>
      </c>
      <c r="H14" s="39">
        <v>1E-3</v>
      </c>
      <c r="I14" s="39">
        <v>1E-3</v>
      </c>
      <c r="J14" s="39">
        <v>1E-3</v>
      </c>
      <c r="K14" s="39">
        <v>1E-3</v>
      </c>
      <c r="L14" s="39">
        <v>1E-3</v>
      </c>
      <c r="M14" s="39">
        <v>1E-3</v>
      </c>
      <c r="N14" s="39">
        <v>1E-3</v>
      </c>
      <c r="O14" s="13"/>
    </row>
    <row r="15" spans="1:17" x14ac:dyDescent="0.2">
      <c r="A15" s="38" t="s">
        <v>160</v>
      </c>
      <c r="B15" s="39">
        <v>1</v>
      </c>
      <c r="C15" s="39">
        <v>8.9999999999999993E-3</v>
      </c>
      <c r="D15" s="39">
        <v>8.9999999999999993E-3</v>
      </c>
      <c r="E15" s="39">
        <v>8.9999999999999993E-3</v>
      </c>
      <c r="F15" s="39">
        <v>8.9999999999999993E-3</v>
      </c>
      <c r="G15" s="39">
        <v>8.9999999999999993E-3</v>
      </c>
      <c r="H15" s="39">
        <v>8.9999999999999993E-3</v>
      </c>
      <c r="I15" s="39">
        <v>8.9999999999999993E-3</v>
      </c>
      <c r="J15" s="39">
        <v>8.9999999999999993E-3</v>
      </c>
      <c r="K15" s="39">
        <v>8.9999999999999993E-3</v>
      </c>
      <c r="L15" s="39">
        <v>8.9999999999999993E-3</v>
      </c>
      <c r="M15" s="39">
        <v>8.9999999999999993E-3</v>
      </c>
      <c r="N15" s="39">
        <v>8.9999999999999993E-3</v>
      </c>
      <c r="O15" s="13"/>
    </row>
    <row r="16" spans="1:17" x14ac:dyDescent="0.2">
      <c r="A16" s="14" t="s">
        <v>0</v>
      </c>
      <c r="B16" s="13">
        <v>2</v>
      </c>
      <c r="C16" s="13">
        <v>895</v>
      </c>
      <c r="D16" s="13">
        <v>895</v>
      </c>
      <c r="E16" s="13">
        <v>895</v>
      </c>
      <c r="F16" s="13">
        <v>895</v>
      </c>
      <c r="G16" s="13">
        <v>895</v>
      </c>
      <c r="H16" s="13">
        <v>895</v>
      </c>
      <c r="I16" s="13">
        <v>895</v>
      </c>
      <c r="J16" s="13">
        <v>895</v>
      </c>
      <c r="K16" s="13">
        <v>895</v>
      </c>
      <c r="L16" s="13">
        <v>895</v>
      </c>
      <c r="M16" s="13">
        <v>895</v>
      </c>
      <c r="N16" s="13">
        <v>895</v>
      </c>
      <c r="O16" s="44"/>
    </row>
    <row r="17" spans="1:15" x14ac:dyDescent="0.2">
      <c r="A17" s="14" t="s">
        <v>1</v>
      </c>
      <c r="B17" s="13">
        <v>2</v>
      </c>
      <c r="C17" s="13">
        <v>8.8000000000000007</v>
      </c>
      <c r="D17" s="13">
        <v>8.8000000000000007</v>
      </c>
      <c r="E17" s="13">
        <v>8.8000000000000007</v>
      </c>
      <c r="F17" s="13">
        <v>8.8000000000000007</v>
      </c>
      <c r="G17" s="13">
        <v>8.8000000000000007</v>
      </c>
      <c r="H17" s="13">
        <v>8.8000000000000007</v>
      </c>
      <c r="I17" s="13">
        <v>8.8000000000000007</v>
      </c>
      <c r="J17" s="13">
        <v>8.8000000000000007</v>
      </c>
      <c r="K17" s="13">
        <v>8.8000000000000007</v>
      </c>
      <c r="L17" s="13">
        <v>8.8000000000000007</v>
      </c>
      <c r="M17" s="13">
        <v>8.8000000000000007</v>
      </c>
      <c r="N17" s="13">
        <v>8.8000000000000007</v>
      </c>
    </row>
    <row r="18" spans="1:15" x14ac:dyDescent="0.2">
      <c r="A18" s="14" t="s">
        <v>2</v>
      </c>
      <c r="B18" s="13">
        <v>2</v>
      </c>
      <c r="C18" s="13">
        <v>18.399999999999999</v>
      </c>
      <c r="D18" s="13">
        <v>18.399999999999999</v>
      </c>
      <c r="E18" s="13">
        <v>18.399999999999999</v>
      </c>
      <c r="F18" s="13">
        <v>18.399999999999999</v>
      </c>
      <c r="G18" s="13">
        <v>18.399999999999999</v>
      </c>
      <c r="H18" s="13">
        <v>18.399999999999999</v>
      </c>
      <c r="I18" s="13">
        <v>18.399999999999999</v>
      </c>
      <c r="J18" s="13">
        <v>18.399999999999999</v>
      </c>
      <c r="K18" s="13">
        <v>18.399999999999999</v>
      </c>
      <c r="L18" s="13">
        <v>18.399999999999999</v>
      </c>
      <c r="M18" s="13">
        <v>18.399999999999999</v>
      </c>
      <c r="N18" s="13">
        <v>18.399999999999999</v>
      </c>
      <c r="O18" s="32"/>
    </row>
    <row r="19" spans="1:15" x14ac:dyDescent="0.2">
      <c r="A19" s="14" t="s">
        <v>3</v>
      </c>
      <c r="B19" s="13">
        <v>2</v>
      </c>
      <c r="C19" s="13">
        <v>7.8</v>
      </c>
      <c r="D19" s="13">
        <v>7.8</v>
      </c>
      <c r="E19" s="13">
        <v>7.8</v>
      </c>
      <c r="F19" s="13">
        <v>7.8</v>
      </c>
      <c r="G19" s="13">
        <v>7.8</v>
      </c>
      <c r="H19" s="13">
        <v>7.8</v>
      </c>
      <c r="I19" s="13">
        <v>7.8</v>
      </c>
      <c r="J19" s="13">
        <v>7.8</v>
      </c>
      <c r="K19" s="13">
        <v>7.8</v>
      </c>
      <c r="L19" s="13">
        <v>7.8</v>
      </c>
      <c r="M19" s="13">
        <v>7.8</v>
      </c>
      <c r="N19" s="13">
        <v>7.8</v>
      </c>
      <c r="O19" s="32"/>
    </row>
    <row r="20" spans="1:15" x14ac:dyDescent="0.2">
      <c r="A20" s="14" t="s">
        <v>4</v>
      </c>
      <c r="B20" s="13">
        <v>2</v>
      </c>
      <c r="C20" s="13">
        <v>199</v>
      </c>
      <c r="D20" s="13">
        <v>199</v>
      </c>
      <c r="E20" s="13">
        <v>199</v>
      </c>
      <c r="F20" s="13">
        <v>199</v>
      </c>
      <c r="G20" s="13">
        <v>199</v>
      </c>
      <c r="H20" s="13">
        <v>199</v>
      </c>
      <c r="I20" s="13">
        <v>199</v>
      </c>
      <c r="J20" s="13">
        <v>199</v>
      </c>
      <c r="K20" s="13">
        <v>199</v>
      </c>
      <c r="L20" s="13">
        <v>199</v>
      </c>
      <c r="M20" s="13">
        <v>199</v>
      </c>
      <c r="N20" s="13">
        <v>199</v>
      </c>
    </row>
    <row r="21" spans="1:15" x14ac:dyDescent="0.2">
      <c r="A21" s="14" t="s">
        <v>5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  <c r="H21" s="13">
        <v>2</v>
      </c>
      <c r="I21" s="13">
        <v>2</v>
      </c>
      <c r="J21" s="13">
        <v>2</v>
      </c>
      <c r="K21" s="13">
        <v>2</v>
      </c>
      <c r="L21" s="13">
        <v>2</v>
      </c>
      <c r="M21" s="13">
        <v>2</v>
      </c>
      <c r="N21" s="13">
        <v>2</v>
      </c>
      <c r="O21" s="34"/>
    </row>
    <row r="22" spans="1:15" x14ac:dyDescent="0.2">
      <c r="A22" s="14" t="s">
        <v>6</v>
      </c>
      <c r="B22" s="13">
        <v>2</v>
      </c>
      <c r="C22" s="13">
        <v>0.56999999999999995</v>
      </c>
      <c r="D22" s="13">
        <v>0.56999999999999995</v>
      </c>
      <c r="E22" s="13">
        <v>0.56999999999999995</v>
      </c>
      <c r="F22" s="13">
        <v>0.56999999999999995</v>
      </c>
      <c r="G22" s="13">
        <v>0.56999999999999995</v>
      </c>
      <c r="H22" s="13">
        <v>0.56999999999999995</v>
      </c>
      <c r="I22" s="13">
        <v>0.56999999999999995</v>
      </c>
      <c r="J22" s="13">
        <v>0.56999999999999995</v>
      </c>
      <c r="K22" s="13">
        <v>0.56999999999999995</v>
      </c>
      <c r="L22" s="13">
        <v>0.56999999999999995</v>
      </c>
      <c r="M22" s="13">
        <v>0.56999999999999995</v>
      </c>
      <c r="N22" s="13">
        <v>0.56999999999999995</v>
      </c>
      <c r="O22" s="55"/>
    </row>
    <row r="23" spans="1:15" x14ac:dyDescent="0.2">
      <c r="A23" s="14" t="s">
        <v>7</v>
      </c>
      <c r="B23" s="13">
        <v>2</v>
      </c>
      <c r="C23" s="13">
        <v>0.56000000000000005</v>
      </c>
      <c r="D23" s="13">
        <v>0.56000000000000005</v>
      </c>
      <c r="E23" s="13">
        <v>0.56000000000000005</v>
      </c>
      <c r="F23" s="13">
        <v>0.56000000000000005</v>
      </c>
      <c r="G23" s="13">
        <v>0.56000000000000005</v>
      </c>
      <c r="H23" s="13">
        <v>0.56000000000000005</v>
      </c>
      <c r="I23" s="13">
        <v>0.56000000000000005</v>
      </c>
      <c r="J23" s="13">
        <v>0.56000000000000005</v>
      </c>
      <c r="K23" s="13">
        <v>0.56000000000000005</v>
      </c>
      <c r="L23" s="13">
        <v>0.56000000000000005</v>
      </c>
      <c r="M23" s="13">
        <v>0.56000000000000005</v>
      </c>
      <c r="N23" s="13">
        <v>0.56000000000000005</v>
      </c>
      <c r="O23" s="48"/>
    </row>
    <row r="24" spans="1:15" x14ac:dyDescent="0.2">
      <c r="A24" s="14" t="s">
        <v>8</v>
      </c>
      <c r="B24" s="13">
        <v>2</v>
      </c>
      <c r="C24" s="18">
        <v>0.38</v>
      </c>
      <c r="D24" s="18">
        <v>0.38</v>
      </c>
      <c r="E24" s="13">
        <v>0.38</v>
      </c>
      <c r="F24" s="13">
        <v>0.38</v>
      </c>
      <c r="G24" s="13">
        <v>0.38</v>
      </c>
      <c r="H24" s="13">
        <v>0.38</v>
      </c>
      <c r="I24" s="13">
        <v>0.38</v>
      </c>
      <c r="J24" s="13">
        <v>0.38</v>
      </c>
      <c r="K24" s="13">
        <v>0.38</v>
      </c>
      <c r="L24" s="13">
        <v>0.38</v>
      </c>
      <c r="M24" s="13">
        <v>0.38</v>
      </c>
      <c r="N24" s="13">
        <v>0.38</v>
      </c>
      <c r="O24" s="48"/>
    </row>
    <row r="25" spans="1:15" x14ac:dyDescent="0.2">
      <c r="A25" s="14" t="s">
        <v>9</v>
      </c>
      <c r="B25" s="13">
        <v>2</v>
      </c>
      <c r="C25" s="56">
        <v>0.04</v>
      </c>
      <c r="D25" s="56">
        <v>0.04</v>
      </c>
      <c r="E25" s="13">
        <v>0.04</v>
      </c>
      <c r="F25" s="13">
        <v>0.04</v>
      </c>
      <c r="G25" s="13">
        <v>0.04</v>
      </c>
      <c r="H25" s="13">
        <v>0.04</v>
      </c>
      <c r="I25" s="13">
        <v>0.04</v>
      </c>
      <c r="J25" s="13">
        <v>0.04</v>
      </c>
      <c r="K25" s="13">
        <v>0.04</v>
      </c>
      <c r="L25" s="13">
        <v>0.04</v>
      </c>
      <c r="M25" s="13">
        <v>0.04</v>
      </c>
      <c r="N25" s="13">
        <v>0.04</v>
      </c>
      <c r="O25" s="48"/>
    </row>
    <row r="26" spans="1:15" x14ac:dyDescent="0.2">
      <c r="A26" s="14" t="s">
        <v>10</v>
      </c>
      <c r="B26" s="13">
        <v>2</v>
      </c>
      <c r="C26" s="56">
        <v>396</v>
      </c>
      <c r="D26" s="56">
        <v>396</v>
      </c>
      <c r="E26" s="13">
        <v>396</v>
      </c>
      <c r="F26" s="13">
        <v>396</v>
      </c>
      <c r="G26" s="13">
        <v>396</v>
      </c>
      <c r="H26" s="13">
        <v>396</v>
      </c>
      <c r="I26" s="13">
        <v>396</v>
      </c>
      <c r="J26" s="13">
        <v>396</v>
      </c>
      <c r="K26" s="13">
        <v>396</v>
      </c>
      <c r="L26" s="13">
        <v>396</v>
      </c>
      <c r="M26" s="13">
        <v>396</v>
      </c>
      <c r="N26" s="13">
        <v>396</v>
      </c>
    </row>
    <row r="27" spans="1:15" x14ac:dyDescent="0.2">
      <c r="A27" s="14" t="s">
        <v>161</v>
      </c>
      <c r="B27" s="13">
        <v>2</v>
      </c>
      <c r="C27" s="13">
        <v>1E-3</v>
      </c>
      <c r="D27" s="13">
        <v>1E-3</v>
      </c>
      <c r="E27" s="13">
        <v>1E-3</v>
      </c>
      <c r="F27" s="13">
        <v>1E-3</v>
      </c>
      <c r="G27" s="13">
        <v>1E-3</v>
      </c>
      <c r="H27" s="13">
        <v>1E-3</v>
      </c>
      <c r="I27" s="13">
        <v>1E-3</v>
      </c>
      <c r="J27" s="13">
        <v>1E-3</v>
      </c>
      <c r="K27" s="13">
        <v>1E-3</v>
      </c>
      <c r="L27" s="13">
        <v>1E-3</v>
      </c>
      <c r="M27" s="13">
        <v>1E-3</v>
      </c>
      <c r="N27" s="13">
        <v>1E-3</v>
      </c>
    </row>
    <row r="28" spans="1:15" x14ac:dyDescent="0.2">
      <c r="A28" s="14" t="s">
        <v>160</v>
      </c>
      <c r="B28" s="13">
        <v>2</v>
      </c>
      <c r="C28" s="13">
        <v>8.9999999999999993E-3</v>
      </c>
      <c r="D28" s="13">
        <v>8.9999999999999993E-3</v>
      </c>
      <c r="E28" s="13">
        <v>8.9999999999999993E-3</v>
      </c>
      <c r="F28" s="13">
        <v>8.9999999999999993E-3</v>
      </c>
      <c r="G28" s="13">
        <v>8.9999999999999993E-3</v>
      </c>
      <c r="H28" s="13">
        <v>8.9999999999999993E-3</v>
      </c>
      <c r="I28" s="13">
        <v>8.9999999999999993E-3</v>
      </c>
      <c r="J28" s="13">
        <v>8.9999999999999993E-3</v>
      </c>
      <c r="K28" s="13">
        <v>8.9999999999999993E-3</v>
      </c>
      <c r="L28" s="13">
        <v>8.9999999999999993E-3</v>
      </c>
      <c r="M28" s="13">
        <v>8.9999999999999993E-3</v>
      </c>
      <c r="N28" s="13">
        <v>8.9999999999999993E-3</v>
      </c>
    </row>
    <row r="29" spans="1:15" x14ac:dyDescent="0.2">
      <c r="A29" s="38" t="s">
        <v>0</v>
      </c>
      <c r="B29" s="39">
        <f>B26+1</f>
        <v>3</v>
      </c>
      <c r="C29" s="54">
        <v>900</v>
      </c>
      <c r="D29" s="54">
        <v>900</v>
      </c>
      <c r="E29" s="41">
        <v>900</v>
      </c>
      <c r="F29" s="41">
        <v>900</v>
      </c>
      <c r="G29" s="41">
        <v>900</v>
      </c>
      <c r="H29" s="41">
        <v>900</v>
      </c>
      <c r="I29" s="41">
        <v>900</v>
      </c>
      <c r="J29" s="41">
        <v>900</v>
      </c>
      <c r="K29" s="41">
        <v>900</v>
      </c>
      <c r="L29" s="41">
        <v>900</v>
      </c>
      <c r="M29" s="41">
        <v>900</v>
      </c>
      <c r="N29" s="41">
        <v>900</v>
      </c>
      <c r="O29" s="44"/>
    </row>
    <row r="30" spans="1:15" x14ac:dyDescent="0.2">
      <c r="A30" s="38" t="s">
        <v>1</v>
      </c>
      <c r="B30" s="39">
        <f t="shared" ref="B30:B41" si="0">B29</f>
        <v>3</v>
      </c>
      <c r="C30" s="41">
        <v>8.8000000000000007</v>
      </c>
      <c r="D30" s="41">
        <v>8.8000000000000007</v>
      </c>
      <c r="E30" s="41">
        <v>8.8000000000000007</v>
      </c>
      <c r="F30" s="41">
        <v>8.8000000000000007</v>
      </c>
      <c r="G30" s="41">
        <v>8.8000000000000007</v>
      </c>
      <c r="H30" s="41">
        <v>8.8000000000000007</v>
      </c>
      <c r="I30" s="41">
        <v>8.8000000000000007</v>
      </c>
      <c r="J30" s="41">
        <v>8.8000000000000007</v>
      </c>
      <c r="K30" s="41">
        <v>8.8000000000000007</v>
      </c>
      <c r="L30" s="41">
        <v>8.8000000000000007</v>
      </c>
      <c r="M30" s="41">
        <v>8.8000000000000007</v>
      </c>
      <c r="N30" s="41">
        <v>8.8000000000000007</v>
      </c>
      <c r="O30" s="34"/>
    </row>
    <row r="31" spans="1:15" x14ac:dyDescent="0.2">
      <c r="A31" s="38" t="s">
        <v>2</v>
      </c>
      <c r="B31" s="39">
        <f t="shared" si="0"/>
        <v>3</v>
      </c>
      <c r="C31" s="41">
        <v>18.399999999999999</v>
      </c>
      <c r="D31" s="41">
        <v>18.399999999999999</v>
      </c>
      <c r="E31" s="41">
        <v>18.399999999999999</v>
      </c>
      <c r="F31" s="41">
        <v>18.399999999999999</v>
      </c>
      <c r="G31" s="41">
        <v>18.399999999999999</v>
      </c>
      <c r="H31" s="41">
        <v>18.399999999999999</v>
      </c>
      <c r="I31" s="41">
        <v>18.399999999999999</v>
      </c>
      <c r="J31" s="41">
        <v>18.399999999999999</v>
      </c>
      <c r="K31" s="41">
        <v>18.399999999999999</v>
      </c>
      <c r="L31" s="41">
        <v>18.399999999999999</v>
      </c>
      <c r="M31" s="41">
        <v>18.399999999999999</v>
      </c>
      <c r="N31" s="41">
        <v>18.399999999999999</v>
      </c>
      <c r="O31" s="34"/>
    </row>
    <row r="32" spans="1:15" x14ac:dyDescent="0.2">
      <c r="A32" s="38" t="s">
        <v>3</v>
      </c>
      <c r="B32" s="39">
        <f t="shared" si="0"/>
        <v>3</v>
      </c>
      <c r="C32" s="41">
        <v>7.8</v>
      </c>
      <c r="D32" s="41">
        <v>7.8</v>
      </c>
      <c r="E32" s="41">
        <v>7.8</v>
      </c>
      <c r="F32" s="41">
        <v>7.8</v>
      </c>
      <c r="G32" s="41">
        <v>7.8</v>
      </c>
      <c r="H32" s="41">
        <v>7.8</v>
      </c>
      <c r="I32" s="41">
        <v>7.8</v>
      </c>
      <c r="J32" s="41">
        <v>7.8</v>
      </c>
      <c r="K32" s="41">
        <v>7.8</v>
      </c>
      <c r="L32" s="41">
        <v>7.8</v>
      </c>
      <c r="M32" s="41">
        <v>7.8</v>
      </c>
      <c r="N32" s="41">
        <v>7.8</v>
      </c>
      <c r="O32" s="34"/>
    </row>
    <row r="33" spans="1:15" x14ac:dyDescent="0.2">
      <c r="A33" s="38" t="s">
        <v>4</v>
      </c>
      <c r="B33" s="39">
        <f t="shared" si="0"/>
        <v>3</v>
      </c>
      <c r="C33" s="41">
        <v>160</v>
      </c>
      <c r="D33" s="41">
        <v>160</v>
      </c>
      <c r="E33" s="41">
        <v>160</v>
      </c>
      <c r="F33" s="41">
        <v>160</v>
      </c>
      <c r="G33" s="41">
        <v>160</v>
      </c>
      <c r="H33" s="41">
        <v>160</v>
      </c>
      <c r="I33" s="41">
        <v>160</v>
      </c>
      <c r="J33" s="41">
        <v>160</v>
      </c>
      <c r="K33" s="41">
        <v>160</v>
      </c>
      <c r="L33" s="41">
        <v>160</v>
      </c>
      <c r="M33" s="41">
        <v>160</v>
      </c>
      <c r="N33" s="41">
        <v>160</v>
      </c>
      <c r="O33" s="34"/>
    </row>
    <row r="34" spans="1:15" x14ac:dyDescent="0.2">
      <c r="A34" s="38" t="s">
        <v>5</v>
      </c>
      <c r="B34" s="39">
        <f t="shared" si="0"/>
        <v>3</v>
      </c>
      <c r="C34" s="41">
        <v>1.8</v>
      </c>
      <c r="D34" s="41">
        <v>1.8</v>
      </c>
      <c r="E34" s="41">
        <v>1.8</v>
      </c>
      <c r="F34" s="41">
        <v>1.8</v>
      </c>
      <c r="G34" s="41">
        <v>1.8</v>
      </c>
      <c r="H34" s="41">
        <v>1.8</v>
      </c>
      <c r="I34" s="41">
        <v>1.8</v>
      </c>
      <c r="J34" s="41">
        <v>1.8</v>
      </c>
      <c r="K34" s="41">
        <v>1.8</v>
      </c>
      <c r="L34" s="41">
        <v>1.8</v>
      </c>
      <c r="M34" s="41">
        <v>1.8</v>
      </c>
      <c r="N34" s="41">
        <v>1.8</v>
      </c>
      <c r="O34" s="34"/>
    </row>
    <row r="35" spans="1:15" x14ac:dyDescent="0.2">
      <c r="A35" s="38" t="s">
        <v>6</v>
      </c>
      <c r="B35" s="39">
        <f t="shared" si="0"/>
        <v>3</v>
      </c>
      <c r="C35" s="41">
        <v>0.56000000000000005</v>
      </c>
      <c r="D35" s="41">
        <v>0.56000000000000005</v>
      </c>
      <c r="E35" s="41">
        <v>0.56000000000000005</v>
      </c>
      <c r="F35" s="41">
        <v>0.56000000000000005</v>
      </c>
      <c r="G35" s="41">
        <v>0.56000000000000005</v>
      </c>
      <c r="H35" s="41">
        <v>0.56000000000000005</v>
      </c>
      <c r="I35" s="41">
        <v>0.56000000000000005</v>
      </c>
      <c r="J35" s="41">
        <v>0.56000000000000005</v>
      </c>
      <c r="K35" s="41">
        <v>0.56000000000000005</v>
      </c>
      <c r="L35" s="41">
        <v>0.56000000000000005</v>
      </c>
      <c r="M35" s="41">
        <v>0.56000000000000005</v>
      </c>
      <c r="N35" s="41">
        <v>0.56000000000000005</v>
      </c>
      <c r="O35" s="34"/>
    </row>
    <row r="36" spans="1:15" x14ac:dyDescent="0.2">
      <c r="A36" s="38" t="s">
        <v>7</v>
      </c>
      <c r="B36" s="39">
        <f t="shared" si="0"/>
        <v>3</v>
      </c>
      <c r="C36" s="41">
        <v>0.26</v>
      </c>
      <c r="D36" s="41">
        <v>0.26</v>
      </c>
      <c r="E36" s="41">
        <v>0.26</v>
      </c>
      <c r="F36" s="41">
        <v>0.26</v>
      </c>
      <c r="G36" s="41">
        <v>0.26</v>
      </c>
      <c r="H36" s="41">
        <v>0.26</v>
      </c>
      <c r="I36" s="41">
        <v>0.26</v>
      </c>
      <c r="J36" s="41">
        <v>0.26</v>
      </c>
      <c r="K36" s="41">
        <v>0.26</v>
      </c>
      <c r="L36" s="41">
        <v>0.26</v>
      </c>
      <c r="M36" s="41">
        <v>0.26</v>
      </c>
      <c r="N36" s="41">
        <v>0.26</v>
      </c>
      <c r="O36" s="57"/>
    </row>
    <row r="37" spans="1:15" x14ac:dyDescent="0.2">
      <c r="A37" s="38" t="s">
        <v>8</v>
      </c>
      <c r="B37" s="39">
        <f t="shared" si="0"/>
        <v>3</v>
      </c>
      <c r="C37" s="41">
        <v>0.54</v>
      </c>
      <c r="D37" s="41">
        <v>0.54</v>
      </c>
      <c r="E37" s="41">
        <v>0.54</v>
      </c>
      <c r="F37" s="41">
        <v>0.54</v>
      </c>
      <c r="G37" s="41">
        <v>0.54</v>
      </c>
      <c r="H37" s="41">
        <v>0.54</v>
      </c>
      <c r="I37" s="41">
        <v>0.54</v>
      </c>
      <c r="J37" s="41">
        <v>0.54</v>
      </c>
      <c r="K37" s="41">
        <v>0.54</v>
      </c>
      <c r="L37" s="41">
        <v>0.54</v>
      </c>
      <c r="M37" s="41">
        <v>0.54</v>
      </c>
      <c r="N37" s="41">
        <v>0.54</v>
      </c>
      <c r="O37" s="56"/>
    </row>
    <row r="38" spans="1:15" x14ac:dyDescent="0.2">
      <c r="A38" s="38" t="s">
        <v>9</v>
      </c>
      <c r="B38" s="39">
        <f t="shared" si="0"/>
        <v>3</v>
      </c>
      <c r="C38" s="41">
        <v>0.05</v>
      </c>
      <c r="D38" s="41">
        <v>0.05</v>
      </c>
      <c r="E38" s="41">
        <v>0.05</v>
      </c>
      <c r="F38" s="41">
        <v>0.05</v>
      </c>
      <c r="G38" s="41">
        <v>0.05</v>
      </c>
      <c r="H38" s="41">
        <v>0.05</v>
      </c>
      <c r="I38" s="41">
        <v>0.05</v>
      </c>
      <c r="J38" s="41">
        <v>0.05</v>
      </c>
      <c r="K38" s="41">
        <v>0.05</v>
      </c>
      <c r="L38" s="41">
        <v>0.05</v>
      </c>
      <c r="M38" s="41">
        <v>0.05</v>
      </c>
      <c r="N38" s="41">
        <v>0.05</v>
      </c>
      <c r="O38" s="56"/>
    </row>
    <row r="39" spans="1:15" x14ac:dyDescent="0.2">
      <c r="A39" s="38" t="s">
        <v>10</v>
      </c>
      <c r="B39" s="39">
        <f t="shared" si="0"/>
        <v>3</v>
      </c>
      <c r="C39" s="41">
        <v>396</v>
      </c>
      <c r="D39" s="41">
        <v>396</v>
      </c>
      <c r="E39" s="41">
        <v>396</v>
      </c>
      <c r="F39" s="41">
        <v>396</v>
      </c>
      <c r="G39" s="41">
        <v>396</v>
      </c>
      <c r="H39" s="41">
        <v>396</v>
      </c>
      <c r="I39" s="41">
        <v>396</v>
      </c>
      <c r="J39" s="41">
        <v>396</v>
      </c>
      <c r="K39" s="41">
        <v>396</v>
      </c>
      <c r="L39" s="41">
        <v>396</v>
      </c>
      <c r="M39" s="41">
        <v>396</v>
      </c>
      <c r="N39" s="41">
        <v>396</v>
      </c>
      <c r="O39" s="32"/>
    </row>
    <row r="40" spans="1:15" x14ac:dyDescent="0.2">
      <c r="A40" s="38" t="s">
        <v>161</v>
      </c>
      <c r="B40" s="39">
        <f t="shared" si="0"/>
        <v>3</v>
      </c>
      <c r="C40" s="58">
        <v>1E-3</v>
      </c>
      <c r="D40" s="58">
        <v>1E-3</v>
      </c>
      <c r="E40" s="58">
        <v>1E-3</v>
      </c>
      <c r="F40" s="58">
        <v>1E-3</v>
      </c>
      <c r="G40" s="58">
        <v>1E-3</v>
      </c>
      <c r="H40" s="58">
        <v>1E-3</v>
      </c>
      <c r="I40" s="58">
        <v>1E-3</v>
      </c>
      <c r="J40" s="58">
        <v>1E-3</v>
      </c>
      <c r="K40" s="58">
        <v>1E-3</v>
      </c>
      <c r="L40" s="58">
        <v>1E-3</v>
      </c>
      <c r="M40" s="58">
        <v>1E-3</v>
      </c>
      <c r="N40" s="58">
        <v>1E-3</v>
      </c>
      <c r="O40" s="32"/>
    </row>
    <row r="41" spans="1:15" x14ac:dyDescent="0.2">
      <c r="A41" s="38" t="s">
        <v>160</v>
      </c>
      <c r="B41" s="39">
        <f t="shared" si="0"/>
        <v>3</v>
      </c>
      <c r="C41" s="58">
        <v>8.9999999999999993E-3</v>
      </c>
      <c r="D41" s="58">
        <v>8.9999999999999993E-3</v>
      </c>
      <c r="E41" s="58">
        <v>8.9999999999999993E-3</v>
      </c>
      <c r="F41" s="58">
        <v>8.9999999999999993E-3</v>
      </c>
      <c r="G41" s="58">
        <v>8.9999999999999993E-3</v>
      </c>
      <c r="H41" s="58">
        <v>8.9999999999999993E-3</v>
      </c>
      <c r="I41" s="58">
        <v>8.9999999999999993E-3</v>
      </c>
      <c r="J41" s="58">
        <v>8.9999999999999993E-3</v>
      </c>
      <c r="K41" s="58">
        <v>8.9999999999999993E-3</v>
      </c>
      <c r="L41" s="58">
        <v>8.9999999999999993E-3</v>
      </c>
      <c r="M41" s="58">
        <v>8.9999999999999993E-3</v>
      </c>
      <c r="N41" s="58">
        <v>8.9999999999999993E-3</v>
      </c>
      <c r="O41" s="32"/>
    </row>
    <row r="42" spans="1:15" x14ac:dyDescent="0.2">
      <c r="A42" s="14" t="s">
        <v>0</v>
      </c>
      <c r="B42" s="56">
        <v>4</v>
      </c>
      <c r="C42" s="56">
        <v>230</v>
      </c>
      <c r="D42" s="56">
        <v>230</v>
      </c>
      <c r="E42" s="13">
        <v>230</v>
      </c>
      <c r="F42" s="13">
        <v>230</v>
      </c>
      <c r="G42" s="13">
        <v>230</v>
      </c>
      <c r="H42" s="13">
        <v>230</v>
      </c>
      <c r="I42" s="13">
        <v>230</v>
      </c>
      <c r="J42" s="13">
        <v>230</v>
      </c>
      <c r="K42" s="13">
        <v>230</v>
      </c>
      <c r="L42" s="13">
        <v>230</v>
      </c>
      <c r="M42" s="13">
        <v>230</v>
      </c>
      <c r="N42" s="13">
        <v>230</v>
      </c>
      <c r="O42" s="26"/>
    </row>
    <row r="43" spans="1:15" x14ac:dyDescent="0.2">
      <c r="A43" s="14" t="s">
        <v>1</v>
      </c>
      <c r="B43" s="56">
        <v>4</v>
      </c>
      <c r="C43" s="56">
        <v>12.2</v>
      </c>
      <c r="D43" s="56">
        <v>12.2</v>
      </c>
      <c r="E43" s="13">
        <v>12.2</v>
      </c>
      <c r="F43" s="13">
        <v>12.2</v>
      </c>
      <c r="G43" s="13">
        <v>12.2</v>
      </c>
      <c r="H43" s="13">
        <v>12.2</v>
      </c>
      <c r="I43" s="13">
        <v>12.2</v>
      </c>
      <c r="J43" s="13">
        <v>12.2</v>
      </c>
      <c r="K43" s="13">
        <v>12.2</v>
      </c>
      <c r="L43" s="13">
        <v>12.2</v>
      </c>
      <c r="M43" s="13">
        <v>12.2</v>
      </c>
      <c r="N43" s="13">
        <v>12.2</v>
      </c>
      <c r="O43" s="26"/>
    </row>
    <row r="44" spans="1:15" x14ac:dyDescent="0.2">
      <c r="A44" s="14" t="s">
        <v>2</v>
      </c>
      <c r="B44" s="56">
        <v>4</v>
      </c>
      <c r="C44" s="56">
        <v>19</v>
      </c>
      <c r="D44" s="56">
        <v>19</v>
      </c>
      <c r="E44" s="13">
        <v>19</v>
      </c>
      <c r="F44" s="13">
        <v>19</v>
      </c>
      <c r="G44" s="13">
        <v>19</v>
      </c>
      <c r="H44" s="13">
        <v>19</v>
      </c>
      <c r="I44" s="13">
        <v>19</v>
      </c>
      <c r="J44" s="13">
        <v>19</v>
      </c>
      <c r="K44" s="13">
        <v>19</v>
      </c>
      <c r="L44" s="13">
        <v>19</v>
      </c>
      <c r="M44" s="13">
        <v>19</v>
      </c>
      <c r="N44" s="13">
        <v>19</v>
      </c>
      <c r="O44" s="26"/>
    </row>
    <row r="45" spans="1:15" x14ac:dyDescent="0.2">
      <c r="A45" s="14" t="s">
        <v>3</v>
      </c>
      <c r="B45" s="56">
        <v>4</v>
      </c>
      <c r="C45" s="13">
        <v>8.8000000000000007</v>
      </c>
      <c r="D45" s="13">
        <v>8.8000000000000007</v>
      </c>
      <c r="E45" s="13">
        <v>8.8000000000000007</v>
      </c>
      <c r="F45" s="13">
        <v>8.8000000000000007</v>
      </c>
      <c r="G45" s="13">
        <v>8.8000000000000007</v>
      </c>
      <c r="H45" s="13">
        <v>8.8000000000000007</v>
      </c>
      <c r="I45" s="13">
        <v>8.8000000000000007</v>
      </c>
      <c r="J45" s="13">
        <v>8.8000000000000007</v>
      </c>
      <c r="K45" s="13">
        <v>8.8000000000000007</v>
      </c>
      <c r="L45" s="13">
        <v>8.8000000000000007</v>
      </c>
      <c r="M45" s="13">
        <v>8.8000000000000007</v>
      </c>
      <c r="N45" s="13">
        <v>8.8000000000000007</v>
      </c>
      <c r="O45" s="26"/>
    </row>
    <row r="46" spans="1:15" x14ac:dyDescent="0.2">
      <c r="A46" s="14" t="s">
        <v>4</v>
      </c>
      <c r="B46" s="56">
        <v>4</v>
      </c>
      <c r="C46" s="13">
        <v>180</v>
      </c>
      <c r="D46" s="13">
        <v>180</v>
      </c>
      <c r="E46" s="13">
        <v>180</v>
      </c>
      <c r="F46" s="13">
        <v>180</v>
      </c>
      <c r="G46" s="13">
        <v>180</v>
      </c>
      <c r="H46" s="13">
        <v>180</v>
      </c>
      <c r="I46" s="13">
        <v>180</v>
      </c>
      <c r="J46" s="13">
        <v>180</v>
      </c>
      <c r="K46" s="13">
        <v>180</v>
      </c>
      <c r="L46" s="13">
        <v>180</v>
      </c>
      <c r="M46" s="13">
        <v>180</v>
      </c>
      <c r="N46" s="13">
        <v>180</v>
      </c>
      <c r="O46" s="26"/>
    </row>
    <row r="47" spans="1:15" x14ac:dyDescent="0.2">
      <c r="A47" s="14" t="s">
        <v>5</v>
      </c>
      <c r="B47" s="56">
        <v>4</v>
      </c>
      <c r="C47" s="13">
        <v>0.5</v>
      </c>
      <c r="D47" s="13">
        <v>0.5</v>
      </c>
      <c r="E47" s="13">
        <v>0.5</v>
      </c>
      <c r="F47" s="13">
        <v>0.5</v>
      </c>
      <c r="G47" s="13">
        <v>0.5</v>
      </c>
      <c r="H47" s="13">
        <v>0.5</v>
      </c>
      <c r="I47" s="13">
        <v>0.5</v>
      </c>
      <c r="J47" s="13">
        <v>0.5</v>
      </c>
      <c r="K47" s="13">
        <v>0.5</v>
      </c>
      <c r="L47" s="13">
        <v>0.5</v>
      </c>
      <c r="M47" s="13">
        <v>0.5</v>
      </c>
      <c r="N47" s="13">
        <v>0.5</v>
      </c>
      <c r="O47" s="26"/>
    </row>
    <row r="48" spans="1:15" x14ac:dyDescent="0.2">
      <c r="A48" s="14" t="s">
        <v>6</v>
      </c>
      <c r="B48" s="56">
        <v>4</v>
      </c>
      <c r="C48" s="59">
        <v>0.77</v>
      </c>
      <c r="D48" s="59">
        <v>0.77</v>
      </c>
      <c r="E48" s="13">
        <v>0.77</v>
      </c>
      <c r="F48" s="13">
        <v>0.77</v>
      </c>
      <c r="G48" s="13">
        <v>0.77</v>
      </c>
      <c r="H48" s="13">
        <v>0.77</v>
      </c>
      <c r="I48" s="13">
        <v>0.77</v>
      </c>
      <c r="J48" s="13">
        <v>0.77</v>
      </c>
      <c r="K48" s="13">
        <v>0.77</v>
      </c>
      <c r="L48" s="13">
        <v>0.77</v>
      </c>
      <c r="M48" s="13">
        <v>0.77</v>
      </c>
      <c r="N48" s="13">
        <v>0.77</v>
      </c>
      <c r="O48" s="26"/>
    </row>
    <row r="49" spans="1:15" x14ac:dyDescent="0.2">
      <c r="A49" s="14" t="s">
        <v>7</v>
      </c>
      <c r="B49" s="56">
        <v>4</v>
      </c>
      <c r="C49" s="59">
        <v>0.71</v>
      </c>
      <c r="D49" s="59">
        <v>0.71</v>
      </c>
      <c r="E49" s="13">
        <v>0.71</v>
      </c>
      <c r="F49" s="13">
        <v>0.71</v>
      </c>
      <c r="G49" s="13">
        <v>0.71</v>
      </c>
      <c r="H49" s="13">
        <v>0.71</v>
      </c>
      <c r="I49" s="13">
        <v>0.71</v>
      </c>
      <c r="J49" s="13">
        <v>0.71</v>
      </c>
      <c r="K49" s="13">
        <v>0.71</v>
      </c>
      <c r="L49" s="13">
        <v>0.71</v>
      </c>
      <c r="M49" s="13">
        <v>0.71</v>
      </c>
      <c r="N49" s="13">
        <v>0.71</v>
      </c>
      <c r="O49" s="26"/>
    </row>
    <row r="50" spans="1:15" x14ac:dyDescent="0.2">
      <c r="A50" s="14" t="s">
        <v>8</v>
      </c>
      <c r="B50" s="56">
        <v>4</v>
      </c>
      <c r="C50" s="59">
        <v>0.22</v>
      </c>
      <c r="D50" s="59">
        <v>0.22</v>
      </c>
      <c r="E50" s="13">
        <v>0.22</v>
      </c>
      <c r="F50" s="13">
        <v>0.22</v>
      </c>
      <c r="G50" s="13">
        <v>0.22</v>
      </c>
      <c r="H50" s="13">
        <v>0.22</v>
      </c>
      <c r="I50" s="13">
        <v>0.22</v>
      </c>
      <c r="J50" s="13">
        <v>0.22</v>
      </c>
      <c r="K50" s="13">
        <v>0.22</v>
      </c>
      <c r="L50" s="13">
        <v>0.22</v>
      </c>
      <c r="M50" s="13">
        <v>0.22</v>
      </c>
      <c r="N50" s="13">
        <v>0.22</v>
      </c>
      <c r="O50" s="26"/>
    </row>
    <row r="51" spans="1:15" x14ac:dyDescent="0.2">
      <c r="A51" s="14" t="s">
        <v>9</v>
      </c>
      <c r="B51" s="56">
        <v>4</v>
      </c>
      <c r="C51" s="59">
        <v>0.12</v>
      </c>
      <c r="D51" s="59">
        <v>0.12</v>
      </c>
      <c r="E51" s="13">
        <v>0.12</v>
      </c>
      <c r="F51" s="13">
        <v>0.12</v>
      </c>
      <c r="G51" s="13">
        <v>0.12</v>
      </c>
      <c r="H51" s="13">
        <v>0.12</v>
      </c>
      <c r="I51" s="13">
        <v>0.12</v>
      </c>
      <c r="J51" s="13">
        <v>0.12</v>
      </c>
      <c r="K51" s="13">
        <v>0.12</v>
      </c>
      <c r="L51" s="13">
        <v>0.12</v>
      </c>
      <c r="M51" s="13">
        <v>0.12</v>
      </c>
      <c r="N51" s="13">
        <v>0.12</v>
      </c>
      <c r="O51" s="26"/>
    </row>
    <row r="52" spans="1:15" x14ac:dyDescent="0.2">
      <c r="A52" s="14" t="s">
        <v>10</v>
      </c>
      <c r="B52" s="56">
        <v>4</v>
      </c>
      <c r="C52" s="59">
        <v>137</v>
      </c>
      <c r="D52" s="59">
        <v>137</v>
      </c>
      <c r="E52" s="13">
        <v>137</v>
      </c>
      <c r="F52" s="13">
        <v>137</v>
      </c>
      <c r="G52" s="13">
        <v>137</v>
      </c>
      <c r="H52" s="13">
        <v>137</v>
      </c>
      <c r="I52" s="13">
        <v>137</v>
      </c>
      <c r="J52" s="13">
        <v>137</v>
      </c>
      <c r="K52" s="13">
        <v>137</v>
      </c>
      <c r="L52" s="13">
        <v>137</v>
      </c>
      <c r="M52" s="13">
        <v>137</v>
      </c>
      <c r="N52" s="13">
        <v>137</v>
      </c>
      <c r="O52" s="24"/>
    </row>
    <row r="53" spans="1:15" x14ac:dyDescent="0.2">
      <c r="A53" s="14" t="s">
        <v>161</v>
      </c>
      <c r="B53" s="13">
        <v>4</v>
      </c>
      <c r="C53" s="13">
        <v>1E-3</v>
      </c>
      <c r="D53" s="13">
        <v>1E-3</v>
      </c>
      <c r="E53" s="13">
        <v>1E-3</v>
      </c>
      <c r="F53" s="13">
        <v>1E-3</v>
      </c>
      <c r="G53" s="13">
        <v>1E-3</v>
      </c>
      <c r="H53" s="13">
        <v>1E-3</v>
      </c>
      <c r="I53" s="13">
        <v>1E-3</v>
      </c>
      <c r="J53" s="13">
        <v>1E-3</v>
      </c>
      <c r="K53" s="13">
        <v>1E-3</v>
      </c>
      <c r="L53" s="13">
        <v>1E-3</v>
      </c>
      <c r="M53" s="13">
        <v>1E-3</v>
      </c>
      <c r="N53" s="13">
        <v>1E-3</v>
      </c>
      <c r="O53" s="24"/>
    </row>
    <row r="54" spans="1:15" x14ac:dyDescent="0.2">
      <c r="A54" s="14" t="s">
        <v>160</v>
      </c>
      <c r="B54" s="13">
        <v>4</v>
      </c>
      <c r="C54" s="13">
        <v>8.9999999999999993E-3</v>
      </c>
      <c r="D54" s="13">
        <v>8.9999999999999993E-3</v>
      </c>
      <c r="E54" s="13">
        <v>8.9999999999999993E-3</v>
      </c>
      <c r="F54" s="13">
        <v>8.9999999999999993E-3</v>
      </c>
      <c r="G54" s="13">
        <v>8.9999999999999993E-3</v>
      </c>
      <c r="H54" s="13">
        <v>8.9999999999999993E-3</v>
      </c>
      <c r="I54" s="13">
        <v>8.9999999999999993E-3</v>
      </c>
      <c r="J54" s="13">
        <v>8.9999999999999993E-3</v>
      </c>
      <c r="K54" s="13">
        <v>8.9999999999999993E-3</v>
      </c>
      <c r="L54" s="13">
        <v>8.9999999999999993E-3</v>
      </c>
      <c r="M54" s="13">
        <v>8.9999999999999993E-3</v>
      </c>
      <c r="N54" s="13">
        <v>8.9999999999999993E-3</v>
      </c>
      <c r="O54" s="24"/>
    </row>
    <row r="55" spans="1:15" x14ac:dyDescent="0.2">
      <c r="A55" s="38" t="s">
        <v>0</v>
      </c>
      <c r="B55" s="60">
        <v>5</v>
      </c>
      <c r="C55" s="61">
        <v>200</v>
      </c>
      <c r="D55" s="61">
        <v>200</v>
      </c>
      <c r="E55" s="41">
        <v>200</v>
      </c>
      <c r="F55" s="41">
        <v>200</v>
      </c>
      <c r="G55" s="41">
        <v>200</v>
      </c>
      <c r="H55" s="41">
        <v>200</v>
      </c>
      <c r="I55" s="41">
        <v>200</v>
      </c>
      <c r="J55" s="41">
        <v>200</v>
      </c>
      <c r="K55" s="41">
        <v>200</v>
      </c>
      <c r="L55" s="41">
        <v>200</v>
      </c>
      <c r="M55" s="41">
        <v>200</v>
      </c>
      <c r="N55" s="41">
        <v>200</v>
      </c>
      <c r="O55" s="26"/>
    </row>
    <row r="56" spans="1:15" x14ac:dyDescent="0.2">
      <c r="A56" s="38" t="s">
        <v>1</v>
      </c>
      <c r="B56" s="60">
        <v>5</v>
      </c>
      <c r="C56" s="61">
        <v>11.4</v>
      </c>
      <c r="D56" s="61">
        <v>11.4</v>
      </c>
      <c r="E56" s="41">
        <v>11.4</v>
      </c>
      <c r="F56" s="41">
        <v>11.4</v>
      </c>
      <c r="G56" s="41">
        <v>11.4</v>
      </c>
      <c r="H56" s="41">
        <v>11.4</v>
      </c>
      <c r="I56" s="41">
        <v>11.4</v>
      </c>
      <c r="J56" s="41">
        <v>11.4</v>
      </c>
      <c r="K56" s="41">
        <v>11.4</v>
      </c>
      <c r="L56" s="41">
        <v>11.4</v>
      </c>
      <c r="M56" s="41">
        <v>11.4</v>
      </c>
      <c r="N56" s="41">
        <v>11.4</v>
      </c>
      <c r="O56" s="26"/>
    </row>
    <row r="57" spans="1:15" x14ac:dyDescent="0.2">
      <c r="A57" s="38" t="s">
        <v>2</v>
      </c>
      <c r="B57" s="60">
        <v>5</v>
      </c>
      <c r="C57" s="61">
        <v>19</v>
      </c>
      <c r="D57" s="61">
        <v>19</v>
      </c>
      <c r="E57" s="41">
        <v>19</v>
      </c>
      <c r="F57" s="41">
        <v>19</v>
      </c>
      <c r="G57" s="41">
        <v>19</v>
      </c>
      <c r="H57" s="41">
        <v>19</v>
      </c>
      <c r="I57" s="41">
        <v>19</v>
      </c>
      <c r="J57" s="41">
        <v>19</v>
      </c>
      <c r="K57" s="41">
        <v>19</v>
      </c>
      <c r="L57" s="41">
        <v>19</v>
      </c>
      <c r="M57" s="41">
        <v>19</v>
      </c>
      <c r="N57" s="41">
        <v>19</v>
      </c>
      <c r="O57" s="26"/>
    </row>
    <row r="58" spans="1:15" x14ac:dyDescent="0.2">
      <c r="A58" s="38" t="s">
        <v>3</v>
      </c>
      <c r="B58" s="60">
        <v>5</v>
      </c>
      <c r="C58" s="61">
        <v>10.6</v>
      </c>
      <c r="D58" s="61">
        <v>10.6</v>
      </c>
      <c r="E58" s="41">
        <v>10.6</v>
      </c>
      <c r="F58" s="41">
        <v>10.6</v>
      </c>
      <c r="G58" s="41">
        <v>10.6</v>
      </c>
      <c r="H58" s="41">
        <v>10.6</v>
      </c>
      <c r="I58" s="41">
        <v>10.6</v>
      </c>
      <c r="J58" s="41">
        <v>10.6</v>
      </c>
      <c r="K58" s="41">
        <v>10.6</v>
      </c>
      <c r="L58" s="41">
        <v>10.6</v>
      </c>
      <c r="M58" s="41">
        <v>10.6</v>
      </c>
      <c r="N58" s="41">
        <v>10.6</v>
      </c>
      <c r="O58" s="26"/>
    </row>
    <row r="59" spans="1:15" x14ac:dyDescent="0.2">
      <c r="A59" s="38" t="s">
        <v>4</v>
      </c>
      <c r="B59" s="60">
        <v>5</v>
      </c>
      <c r="C59" s="61">
        <v>128</v>
      </c>
      <c r="D59" s="61">
        <v>128</v>
      </c>
      <c r="E59" s="41">
        <v>128</v>
      </c>
      <c r="F59" s="41">
        <v>128</v>
      </c>
      <c r="G59" s="41">
        <v>128</v>
      </c>
      <c r="H59" s="41">
        <v>128</v>
      </c>
      <c r="I59" s="41">
        <v>128</v>
      </c>
      <c r="J59" s="41">
        <v>128</v>
      </c>
      <c r="K59" s="41">
        <v>128</v>
      </c>
      <c r="L59" s="41">
        <v>128</v>
      </c>
      <c r="M59" s="41">
        <v>128</v>
      </c>
      <c r="N59" s="41">
        <v>128</v>
      </c>
      <c r="O59" s="26"/>
    </row>
    <row r="60" spans="1:15" x14ac:dyDescent="0.2">
      <c r="A60" s="38" t="s">
        <v>5</v>
      </c>
      <c r="B60" s="60">
        <v>5</v>
      </c>
      <c r="C60" s="62">
        <v>1.2</v>
      </c>
      <c r="D60" s="62">
        <v>1.2</v>
      </c>
      <c r="E60" s="41">
        <v>1.2</v>
      </c>
      <c r="F60" s="41">
        <v>1.2</v>
      </c>
      <c r="G60" s="41">
        <v>1.2</v>
      </c>
      <c r="H60" s="41">
        <v>1.2</v>
      </c>
      <c r="I60" s="41">
        <v>1.2</v>
      </c>
      <c r="J60" s="41">
        <v>1.2</v>
      </c>
      <c r="K60" s="41">
        <v>1.2</v>
      </c>
      <c r="L60" s="41">
        <v>1.2</v>
      </c>
      <c r="M60" s="41">
        <v>1.2</v>
      </c>
      <c r="N60" s="41">
        <v>1.2</v>
      </c>
      <c r="O60" s="26"/>
    </row>
    <row r="61" spans="1:15" x14ac:dyDescent="0.2">
      <c r="A61" s="38" t="s">
        <v>6</v>
      </c>
      <c r="B61" s="60">
        <v>5</v>
      </c>
      <c r="C61" s="62">
        <v>0.7</v>
      </c>
      <c r="D61" s="62">
        <v>0.7</v>
      </c>
      <c r="E61" s="41">
        <v>0.7</v>
      </c>
      <c r="F61" s="41">
        <v>0.7</v>
      </c>
      <c r="G61" s="41">
        <v>0.7</v>
      </c>
      <c r="H61" s="41">
        <v>0.7</v>
      </c>
      <c r="I61" s="41">
        <v>0.7</v>
      </c>
      <c r="J61" s="41">
        <v>0.7</v>
      </c>
      <c r="K61" s="41">
        <v>0.7</v>
      </c>
      <c r="L61" s="41">
        <v>0.7</v>
      </c>
      <c r="M61" s="41">
        <v>0.7</v>
      </c>
      <c r="N61" s="41">
        <v>0.7</v>
      </c>
      <c r="O61" s="26"/>
    </row>
    <row r="62" spans="1:15" x14ac:dyDescent="0.2">
      <c r="A62" s="38" t="s">
        <v>7</v>
      </c>
      <c r="B62" s="60">
        <v>5</v>
      </c>
      <c r="C62" s="62">
        <v>0.36</v>
      </c>
      <c r="D62" s="62">
        <v>0.36</v>
      </c>
      <c r="E62" s="41">
        <v>0.36</v>
      </c>
      <c r="F62" s="41">
        <v>0.36</v>
      </c>
      <c r="G62" s="41">
        <v>0.36</v>
      </c>
      <c r="H62" s="41">
        <v>0.36</v>
      </c>
      <c r="I62" s="41">
        <v>0.36</v>
      </c>
      <c r="J62" s="41">
        <v>0.36</v>
      </c>
      <c r="K62" s="41">
        <v>0.36</v>
      </c>
      <c r="L62" s="41">
        <v>0.36</v>
      </c>
      <c r="M62" s="41">
        <v>0.36</v>
      </c>
      <c r="N62" s="41">
        <v>0.36</v>
      </c>
      <c r="O62" s="20"/>
    </row>
    <row r="63" spans="1:15" x14ac:dyDescent="0.2">
      <c r="A63" s="38" t="s">
        <v>8</v>
      </c>
      <c r="B63" s="60">
        <v>5</v>
      </c>
      <c r="C63" s="61">
        <v>0.56999999999999995</v>
      </c>
      <c r="D63" s="61">
        <v>0.56999999999999995</v>
      </c>
      <c r="E63" s="41">
        <v>0.56999999999999995</v>
      </c>
      <c r="F63" s="41">
        <v>0.56999999999999995</v>
      </c>
      <c r="G63" s="41">
        <v>0.56999999999999995</v>
      </c>
      <c r="H63" s="41">
        <v>0.56999999999999995</v>
      </c>
      <c r="I63" s="41">
        <v>0.56999999999999995</v>
      </c>
      <c r="J63" s="41">
        <v>0.56999999999999995</v>
      </c>
      <c r="K63" s="41">
        <v>0.56999999999999995</v>
      </c>
      <c r="L63" s="41">
        <v>0.56999999999999995</v>
      </c>
      <c r="M63" s="41">
        <v>0.56999999999999995</v>
      </c>
      <c r="N63" s="41">
        <v>0.56999999999999995</v>
      </c>
      <c r="O63" s="20"/>
    </row>
    <row r="64" spans="1:15" x14ac:dyDescent="0.2">
      <c r="A64" s="38" t="s">
        <v>9</v>
      </c>
      <c r="B64" s="60">
        <v>5</v>
      </c>
      <c r="C64" s="61">
        <v>0.17</v>
      </c>
      <c r="D64" s="61">
        <v>0.17</v>
      </c>
      <c r="E64" s="41">
        <v>0.17</v>
      </c>
      <c r="F64" s="41">
        <v>0.17</v>
      </c>
      <c r="G64" s="41">
        <v>0.17</v>
      </c>
      <c r="H64" s="41">
        <v>0.17</v>
      </c>
      <c r="I64" s="41">
        <v>0.17</v>
      </c>
      <c r="J64" s="41">
        <v>0.17</v>
      </c>
      <c r="K64" s="41">
        <v>0.17</v>
      </c>
      <c r="L64" s="41">
        <v>0.17</v>
      </c>
      <c r="M64" s="41">
        <v>0.17</v>
      </c>
      <c r="N64" s="41">
        <v>0.17</v>
      </c>
      <c r="O64" s="20"/>
    </row>
    <row r="65" spans="1:19" x14ac:dyDescent="0.2">
      <c r="A65" s="38" t="s">
        <v>10</v>
      </c>
      <c r="B65" s="60">
        <v>5</v>
      </c>
      <c r="C65" s="61">
        <v>137</v>
      </c>
      <c r="D65" s="61">
        <v>137</v>
      </c>
      <c r="E65" s="41">
        <v>137</v>
      </c>
      <c r="F65" s="41">
        <v>137</v>
      </c>
      <c r="G65" s="41">
        <v>137</v>
      </c>
      <c r="H65" s="41">
        <v>137</v>
      </c>
      <c r="I65" s="41">
        <v>137</v>
      </c>
      <c r="J65" s="41">
        <v>137</v>
      </c>
      <c r="K65" s="41">
        <v>137</v>
      </c>
      <c r="L65" s="41">
        <v>137</v>
      </c>
      <c r="M65" s="41">
        <v>137</v>
      </c>
      <c r="N65" s="41">
        <v>137</v>
      </c>
      <c r="O65" s="20"/>
    </row>
    <row r="66" spans="1:19" x14ac:dyDescent="0.2">
      <c r="A66" s="38" t="s">
        <v>161</v>
      </c>
      <c r="B66" s="60">
        <v>5</v>
      </c>
      <c r="C66" s="39">
        <v>1E-3</v>
      </c>
      <c r="D66" s="39">
        <v>1E-3</v>
      </c>
      <c r="E66" s="39">
        <v>1E-3</v>
      </c>
      <c r="F66" s="39">
        <v>1E-3</v>
      </c>
      <c r="G66" s="39">
        <v>1E-3</v>
      </c>
      <c r="H66" s="39">
        <v>1E-3</v>
      </c>
      <c r="I66" s="39">
        <v>1E-3</v>
      </c>
      <c r="J66" s="39">
        <v>1E-3</v>
      </c>
      <c r="K66" s="39">
        <v>1E-3</v>
      </c>
      <c r="L66" s="39">
        <v>1E-3</v>
      </c>
      <c r="M66" s="39">
        <v>1E-3</v>
      </c>
      <c r="N66" s="39">
        <v>1E-3</v>
      </c>
      <c r="O66" s="20"/>
    </row>
    <row r="67" spans="1:19" x14ac:dyDescent="0.2">
      <c r="A67" s="38" t="s">
        <v>160</v>
      </c>
      <c r="B67" s="60">
        <v>5</v>
      </c>
      <c r="C67" s="39">
        <v>8.9999999999999993E-3</v>
      </c>
      <c r="D67" s="39">
        <v>8.9999999999999993E-3</v>
      </c>
      <c r="E67" s="39">
        <v>8.9999999999999993E-3</v>
      </c>
      <c r="F67" s="39">
        <v>8.9999999999999993E-3</v>
      </c>
      <c r="G67" s="39">
        <v>8.9999999999999993E-3</v>
      </c>
      <c r="H67" s="39">
        <v>8.9999999999999993E-3</v>
      </c>
      <c r="I67" s="39">
        <v>8.9999999999999993E-3</v>
      </c>
      <c r="J67" s="39">
        <v>8.9999999999999993E-3</v>
      </c>
      <c r="K67" s="39">
        <v>8.9999999999999993E-3</v>
      </c>
      <c r="L67" s="39">
        <v>8.9999999999999993E-3</v>
      </c>
      <c r="M67" s="39">
        <v>8.9999999999999993E-3</v>
      </c>
      <c r="N67" s="39">
        <v>8.9999999999999993E-3</v>
      </c>
      <c r="O67" s="20"/>
    </row>
    <row r="68" spans="1:19" x14ac:dyDescent="0.2">
      <c r="A68" s="14" t="s">
        <v>0</v>
      </c>
      <c r="B68" s="13">
        <f>B65+1</f>
        <v>6</v>
      </c>
      <c r="C68" s="59">
        <v>200</v>
      </c>
      <c r="D68" s="59">
        <v>200</v>
      </c>
      <c r="E68" s="13">
        <v>200</v>
      </c>
      <c r="F68" s="13">
        <v>200</v>
      </c>
      <c r="G68" s="13">
        <v>200</v>
      </c>
      <c r="H68" s="13">
        <v>200</v>
      </c>
      <c r="I68" s="13">
        <v>200</v>
      </c>
      <c r="J68" s="13">
        <v>200</v>
      </c>
      <c r="K68" s="13">
        <v>200</v>
      </c>
      <c r="L68" s="13">
        <v>200</v>
      </c>
      <c r="M68" s="13">
        <v>200</v>
      </c>
      <c r="N68" s="13">
        <v>200</v>
      </c>
      <c r="O68" s="44"/>
    </row>
    <row r="69" spans="1:19" x14ac:dyDescent="0.2">
      <c r="A69" s="14" t="s">
        <v>1</v>
      </c>
      <c r="B69" s="13">
        <f t="shared" ref="B69:B80" si="1">B68</f>
        <v>6</v>
      </c>
      <c r="C69" s="59">
        <v>12.3</v>
      </c>
      <c r="D69" s="59">
        <v>12.3</v>
      </c>
      <c r="E69" s="13">
        <v>12.3</v>
      </c>
      <c r="F69" s="13">
        <v>12.3</v>
      </c>
      <c r="G69" s="13">
        <v>12.3</v>
      </c>
      <c r="H69" s="13">
        <v>12.3</v>
      </c>
      <c r="I69" s="13">
        <v>12.3</v>
      </c>
      <c r="J69" s="13">
        <v>12.3</v>
      </c>
      <c r="K69" s="13">
        <v>12.3</v>
      </c>
      <c r="L69" s="13">
        <v>12.3</v>
      </c>
      <c r="M69" s="13">
        <v>12.3</v>
      </c>
      <c r="N69" s="13">
        <v>12.3</v>
      </c>
      <c r="O69" s="34"/>
      <c r="P69" s="34"/>
      <c r="Q69" s="34"/>
      <c r="S69" s="13"/>
    </row>
    <row r="70" spans="1:19" x14ac:dyDescent="0.2">
      <c r="A70" s="14" t="s">
        <v>2</v>
      </c>
      <c r="B70" s="13">
        <f t="shared" si="1"/>
        <v>6</v>
      </c>
      <c r="C70" s="59">
        <v>19</v>
      </c>
      <c r="D70" s="59">
        <v>19</v>
      </c>
      <c r="E70" s="13">
        <v>19</v>
      </c>
      <c r="F70" s="13">
        <v>19</v>
      </c>
      <c r="G70" s="13">
        <v>19</v>
      </c>
      <c r="H70" s="13">
        <v>19</v>
      </c>
      <c r="I70" s="13">
        <v>19</v>
      </c>
      <c r="J70" s="13">
        <v>19</v>
      </c>
      <c r="K70" s="13">
        <v>19</v>
      </c>
      <c r="L70" s="13">
        <v>19</v>
      </c>
      <c r="M70" s="13">
        <v>19</v>
      </c>
      <c r="N70" s="13">
        <v>19</v>
      </c>
      <c r="O70" s="34"/>
      <c r="P70" s="34"/>
      <c r="Q70" s="34"/>
      <c r="S70" s="13"/>
    </row>
    <row r="71" spans="1:19" x14ac:dyDescent="0.2">
      <c r="A71" s="14" t="s">
        <v>3</v>
      </c>
      <c r="B71" s="13">
        <f t="shared" si="1"/>
        <v>6</v>
      </c>
      <c r="C71" s="59">
        <v>11.4</v>
      </c>
      <c r="D71" s="59">
        <v>11.4</v>
      </c>
      <c r="E71" s="13">
        <v>11.4</v>
      </c>
      <c r="F71" s="13">
        <v>11.4</v>
      </c>
      <c r="G71" s="13">
        <v>11.4</v>
      </c>
      <c r="H71" s="13">
        <v>11.4</v>
      </c>
      <c r="I71" s="13">
        <v>11.4</v>
      </c>
      <c r="J71" s="13">
        <v>11.4</v>
      </c>
      <c r="K71" s="13">
        <v>11.4</v>
      </c>
      <c r="L71" s="13">
        <v>11.4</v>
      </c>
      <c r="M71" s="13">
        <v>11.4</v>
      </c>
      <c r="N71" s="13">
        <v>11.4</v>
      </c>
      <c r="O71" s="34"/>
      <c r="P71" s="34"/>
      <c r="Q71" s="34"/>
      <c r="S71" s="13"/>
    </row>
    <row r="72" spans="1:19" x14ac:dyDescent="0.2">
      <c r="A72" s="14" t="s">
        <v>4</v>
      </c>
      <c r="B72" s="13">
        <f t="shared" si="1"/>
        <v>6</v>
      </c>
      <c r="C72" s="56">
        <v>190</v>
      </c>
      <c r="D72" s="56">
        <v>190</v>
      </c>
      <c r="E72" s="13">
        <v>190</v>
      </c>
      <c r="F72" s="13">
        <v>190</v>
      </c>
      <c r="G72" s="13">
        <v>190</v>
      </c>
      <c r="H72" s="13">
        <v>190</v>
      </c>
      <c r="I72" s="13">
        <v>190</v>
      </c>
      <c r="J72" s="13">
        <v>190</v>
      </c>
      <c r="K72" s="13">
        <v>190</v>
      </c>
      <c r="L72" s="13">
        <v>190</v>
      </c>
      <c r="M72" s="13">
        <v>190</v>
      </c>
      <c r="N72" s="13">
        <v>190</v>
      </c>
      <c r="O72" s="34"/>
      <c r="P72" s="34"/>
      <c r="Q72" s="34"/>
      <c r="S72" s="13"/>
    </row>
    <row r="73" spans="1:19" x14ac:dyDescent="0.2">
      <c r="A73" s="14" t="s">
        <v>5</v>
      </c>
      <c r="B73" s="13">
        <f t="shared" si="1"/>
        <v>6</v>
      </c>
      <c r="C73" s="56">
        <v>1.3</v>
      </c>
      <c r="D73" s="56">
        <v>1.3</v>
      </c>
      <c r="E73" s="13">
        <v>1.3</v>
      </c>
      <c r="F73" s="13">
        <v>1.3</v>
      </c>
      <c r="G73" s="13">
        <v>1.3</v>
      </c>
      <c r="H73" s="13">
        <v>1.3</v>
      </c>
      <c r="I73" s="13">
        <v>1.3</v>
      </c>
      <c r="J73" s="13">
        <v>1.3</v>
      </c>
      <c r="K73" s="13">
        <v>1.3</v>
      </c>
      <c r="L73" s="13">
        <v>1.3</v>
      </c>
      <c r="M73" s="13">
        <v>1.3</v>
      </c>
      <c r="N73" s="13">
        <v>1.3</v>
      </c>
      <c r="O73" s="34"/>
      <c r="P73" s="34"/>
      <c r="Q73" s="34"/>
      <c r="S73" s="13"/>
    </row>
    <row r="74" spans="1:19" x14ac:dyDescent="0.2">
      <c r="A74" s="14" t="s">
        <v>6</v>
      </c>
      <c r="B74" s="13">
        <f t="shared" si="1"/>
        <v>6</v>
      </c>
      <c r="C74" s="56">
        <v>0.75</v>
      </c>
      <c r="D74" s="56">
        <v>0.75</v>
      </c>
      <c r="E74" s="13">
        <v>0.75</v>
      </c>
      <c r="F74" s="13">
        <v>0.75</v>
      </c>
      <c r="G74" s="13">
        <v>0.75</v>
      </c>
      <c r="H74" s="13">
        <v>0.75</v>
      </c>
      <c r="I74" s="13">
        <v>0.75</v>
      </c>
      <c r="J74" s="13">
        <v>0.75</v>
      </c>
      <c r="K74" s="13">
        <v>0.75</v>
      </c>
      <c r="L74" s="13">
        <v>0.75</v>
      </c>
      <c r="M74" s="13">
        <v>0.75</v>
      </c>
      <c r="N74" s="13">
        <v>0.75</v>
      </c>
      <c r="O74" s="32"/>
      <c r="P74" s="32"/>
      <c r="Q74" s="32"/>
      <c r="S74" s="13"/>
    </row>
    <row r="75" spans="1:19" x14ac:dyDescent="0.2">
      <c r="A75" s="14" t="s">
        <v>7</v>
      </c>
      <c r="B75" s="13">
        <f t="shared" si="1"/>
        <v>6</v>
      </c>
      <c r="C75" s="56">
        <v>0.23</v>
      </c>
      <c r="D75" s="56">
        <v>0.23</v>
      </c>
      <c r="E75" s="13">
        <v>0.23</v>
      </c>
      <c r="F75" s="13">
        <v>0.23</v>
      </c>
      <c r="G75" s="13">
        <v>0.23</v>
      </c>
      <c r="H75" s="13">
        <v>0.23</v>
      </c>
      <c r="I75" s="13">
        <v>0.23</v>
      </c>
      <c r="J75" s="13">
        <v>0.23</v>
      </c>
      <c r="K75" s="13">
        <v>0.23</v>
      </c>
      <c r="L75" s="13">
        <v>0.23</v>
      </c>
      <c r="M75" s="13">
        <v>0.23</v>
      </c>
      <c r="N75" s="13">
        <v>0.23</v>
      </c>
      <c r="O75" s="13"/>
      <c r="P75" s="13"/>
      <c r="Q75" s="56"/>
      <c r="S75" s="13"/>
    </row>
    <row r="76" spans="1:19" x14ac:dyDescent="0.2">
      <c r="A76" s="14" t="s">
        <v>8</v>
      </c>
      <c r="B76" s="13">
        <f t="shared" si="1"/>
        <v>6</v>
      </c>
      <c r="C76" s="56">
        <v>0.71</v>
      </c>
      <c r="D76" s="56">
        <v>0.71</v>
      </c>
      <c r="E76" s="13">
        <v>0.71</v>
      </c>
      <c r="F76" s="13">
        <v>0.71</v>
      </c>
      <c r="G76" s="13">
        <v>0.71</v>
      </c>
      <c r="H76" s="13">
        <v>0.71</v>
      </c>
      <c r="I76" s="13">
        <v>0.71</v>
      </c>
      <c r="J76" s="13">
        <v>0.71</v>
      </c>
      <c r="K76" s="13">
        <v>0.71</v>
      </c>
      <c r="L76" s="13">
        <v>0.71</v>
      </c>
      <c r="M76" s="13">
        <v>0.71</v>
      </c>
      <c r="N76" s="13">
        <v>0.71</v>
      </c>
      <c r="O76" s="13"/>
      <c r="P76" s="13"/>
      <c r="Q76" s="56"/>
      <c r="S76" s="13"/>
    </row>
    <row r="77" spans="1:19" x14ac:dyDescent="0.2">
      <c r="A77" s="14" t="s">
        <v>9</v>
      </c>
      <c r="B77" s="13">
        <f t="shared" si="1"/>
        <v>6</v>
      </c>
      <c r="C77" s="56">
        <v>0.18</v>
      </c>
      <c r="D77" s="56">
        <v>0.18</v>
      </c>
      <c r="E77" s="13">
        <v>0.18</v>
      </c>
      <c r="F77" s="13">
        <v>0.18</v>
      </c>
      <c r="G77" s="13">
        <v>0.18</v>
      </c>
      <c r="H77" s="13">
        <v>0.18</v>
      </c>
      <c r="I77" s="13">
        <v>0.18</v>
      </c>
      <c r="J77" s="13">
        <v>0.18</v>
      </c>
      <c r="K77" s="13">
        <v>0.18</v>
      </c>
      <c r="L77" s="13">
        <v>0.18</v>
      </c>
      <c r="M77" s="13">
        <v>0.18</v>
      </c>
      <c r="N77" s="13">
        <v>0.18</v>
      </c>
      <c r="O77" s="13"/>
      <c r="P77" s="13"/>
      <c r="Q77" s="56"/>
      <c r="S77" s="13"/>
    </row>
    <row r="78" spans="1:19" x14ac:dyDescent="0.2">
      <c r="A78" s="14" t="s">
        <v>10</v>
      </c>
      <c r="B78" s="13">
        <f t="shared" si="1"/>
        <v>6</v>
      </c>
      <c r="C78" s="13">
        <v>137</v>
      </c>
      <c r="D78" s="13">
        <v>137</v>
      </c>
      <c r="E78" s="13">
        <v>137</v>
      </c>
      <c r="F78" s="13">
        <v>137</v>
      </c>
      <c r="G78" s="13">
        <v>137</v>
      </c>
      <c r="H78" s="13">
        <v>137</v>
      </c>
      <c r="I78" s="13">
        <v>137</v>
      </c>
      <c r="J78" s="13">
        <v>137</v>
      </c>
      <c r="K78" s="13">
        <v>137</v>
      </c>
      <c r="L78" s="13">
        <v>137</v>
      </c>
      <c r="M78" s="13">
        <v>137</v>
      </c>
      <c r="N78" s="13">
        <v>137</v>
      </c>
      <c r="O78" s="32"/>
      <c r="P78" s="32"/>
      <c r="Q78" s="32"/>
      <c r="S78" s="13"/>
    </row>
    <row r="79" spans="1:19" x14ac:dyDescent="0.2">
      <c r="A79" s="14" t="s">
        <v>161</v>
      </c>
      <c r="B79" s="13">
        <f t="shared" si="1"/>
        <v>6</v>
      </c>
      <c r="C79" s="13">
        <v>1E-3</v>
      </c>
      <c r="D79" s="13">
        <v>1E-3</v>
      </c>
      <c r="E79" s="13">
        <v>1E-3</v>
      </c>
      <c r="F79" s="13">
        <v>1E-3</v>
      </c>
      <c r="G79" s="13">
        <v>1E-3</v>
      </c>
      <c r="H79" s="13">
        <v>1E-3</v>
      </c>
      <c r="I79" s="13">
        <v>1E-3</v>
      </c>
      <c r="J79" s="13">
        <v>1E-3</v>
      </c>
      <c r="K79" s="13">
        <v>1E-3</v>
      </c>
      <c r="L79" s="13">
        <v>1E-3</v>
      </c>
      <c r="M79" s="13">
        <v>1E-3</v>
      </c>
      <c r="N79" s="13">
        <v>1E-3</v>
      </c>
    </row>
    <row r="80" spans="1:19" x14ac:dyDescent="0.2">
      <c r="A80" s="14" t="s">
        <v>160</v>
      </c>
      <c r="B80" s="13">
        <f t="shared" si="1"/>
        <v>6</v>
      </c>
      <c r="C80" s="13">
        <v>8.9999999999999993E-3</v>
      </c>
      <c r="D80" s="13">
        <v>8.9999999999999993E-3</v>
      </c>
      <c r="E80" s="13">
        <v>8.9999999999999993E-3</v>
      </c>
      <c r="F80" s="13">
        <v>8.9999999999999993E-3</v>
      </c>
      <c r="G80" s="13">
        <v>8.9999999999999993E-3</v>
      </c>
      <c r="H80" s="13">
        <v>8.9999999999999993E-3</v>
      </c>
      <c r="I80" s="13">
        <v>8.9999999999999993E-3</v>
      </c>
      <c r="J80" s="13">
        <v>8.9999999999999993E-3</v>
      </c>
      <c r="K80" s="13">
        <v>8.9999999999999993E-3</v>
      </c>
      <c r="L80" s="13">
        <v>8.9999999999999993E-3</v>
      </c>
      <c r="M80" s="13">
        <v>8.9999999999999993E-3</v>
      </c>
      <c r="N80" s="13">
        <v>8.9999999999999993E-3</v>
      </c>
    </row>
    <row r="81" spans="1:19" x14ac:dyDescent="0.2">
      <c r="A81" s="14"/>
    </row>
    <row r="82" spans="1:19" x14ac:dyDescent="0.2">
      <c r="A82" s="14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63"/>
      <c r="P82" s="63"/>
      <c r="Q82" s="63"/>
      <c r="S82" s="13"/>
    </row>
    <row r="83" spans="1:19" x14ac:dyDescent="0.2">
      <c r="A83" s="14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24"/>
      <c r="P83" s="24"/>
      <c r="Q83" s="24"/>
      <c r="S83" s="13"/>
    </row>
    <row r="84" spans="1:19" x14ac:dyDescent="0.2">
      <c r="A84" s="14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4"/>
      <c r="P84" s="24"/>
      <c r="Q84" s="24"/>
      <c r="S84" s="13"/>
    </row>
    <row r="85" spans="1:19" x14ac:dyDescent="0.2"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24"/>
      <c r="P85" s="24"/>
      <c r="Q85" s="24"/>
      <c r="S85" s="13"/>
    </row>
    <row r="86" spans="1:19" x14ac:dyDescent="0.2">
      <c r="A86" s="14"/>
      <c r="B86" s="56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24"/>
      <c r="P86" s="24"/>
      <c r="Q86" s="26"/>
      <c r="S86" s="13"/>
    </row>
    <row r="87" spans="1:19" x14ac:dyDescent="0.2">
      <c r="A87" s="14"/>
      <c r="B87" s="56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24"/>
      <c r="P87" s="24"/>
      <c r="Q87" s="26"/>
      <c r="S87" s="13"/>
    </row>
    <row r="88" spans="1:19" x14ac:dyDescent="0.2">
      <c r="A88" s="14"/>
      <c r="B88" s="56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24"/>
      <c r="P88" s="24"/>
      <c r="Q88" s="26"/>
      <c r="S88" s="13"/>
    </row>
    <row r="89" spans="1:19" x14ac:dyDescent="0.2">
      <c r="A89" s="14"/>
      <c r="B89" s="56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24"/>
      <c r="P89" s="24"/>
      <c r="Q89" s="26"/>
      <c r="S89" s="13"/>
    </row>
    <row r="90" spans="1:19" x14ac:dyDescent="0.2">
      <c r="A90" s="14"/>
      <c r="B90" s="56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26"/>
      <c r="P90" s="26"/>
      <c r="Q90" s="26"/>
      <c r="S90" s="13"/>
    </row>
    <row r="91" spans="1:19" x14ac:dyDescent="0.2">
      <c r="A91" s="14"/>
      <c r="B91" s="56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26"/>
      <c r="P91" s="26"/>
      <c r="Q91" s="26"/>
      <c r="S91" s="13"/>
    </row>
    <row r="92" spans="1:19" x14ac:dyDescent="0.2">
      <c r="A92" s="14"/>
      <c r="B92" s="56"/>
      <c r="C92" s="64"/>
      <c r="D92" s="64"/>
      <c r="E92" s="64"/>
      <c r="F92" s="64"/>
      <c r="G92" s="64"/>
      <c r="H92" s="64"/>
      <c r="I92" s="64"/>
      <c r="J92" s="64"/>
      <c r="K92" s="64"/>
      <c r="L92" s="64"/>
      <c r="M92" s="64"/>
      <c r="N92" s="64"/>
      <c r="O92" s="26"/>
      <c r="P92" s="26"/>
      <c r="Q92" s="26"/>
      <c r="S92" s="13"/>
    </row>
    <row r="93" spans="1:19" x14ac:dyDescent="0.2">
      <c r="A93" s="14"/>
      <c r="B93" s="56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26"/>
      <c r="P93" s="26"/>
      <c r="Q93" s="26"/>
      <c r="S93" s="13"/>
    </row>
    <row r="94" spans="1:19" x14ac:dyDescent="0.2">
      <c r="A94" s="14"/>
      <c r="B94" s="56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26"/>
      <c r="P94" s="26"/>
      <c r="Q94" s="26"/>
      <c r="S94" s="13"/>
    </row>
    <row r="95" spans="1:19" x14ac:dyDescent="0.2">
      <c r="A95" s="14"/>
      <c r="B95" s="56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26"/>
      <c r="P95" s="26"/>
      <c r="Q95" s="26"/>
      <c r="S95" s="13"/>
    </row>
    <row r="96" spans="1:19" x14ac:dyDescent="0.2">
      <c r="A96" s="14"/>
      <c r="B96" s="56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24"/>
      <c r="P96" s="24"/>
      <c r="Q96" s="24"/>
      <c r="S96" s="13"/>
    </row>
    <row r="97" spans="1:15" x14ac:dyDescent="0.2">
      <c r="A97" s="14"/>
      <c r="I97" s="18"/>
      <c r="J97" s="18"/>
      <c r="K97" s="18"/>
      <c r="L97" s="18"/>
      <c r="M97" s="18"/>
      <c r="N97" s="18"/>
      <c r="O97" s="48"/>
    </row>
    <row r="98" spans="1:15" x14ac:dyDescent="0.2">
      <c r="A98" s="14"/>
      <c r="I98" s="18"/>
      <c r="J98" s="18"/>
      <c r="K98" s="18"/>
      <c r="L98" s="18"/>
      <c r="M98" s="18"/>
      <c r="N98" s="18"/>
      <c r="O98" s="48"/>
    </row>
    <row r="99" spans="1:15" x14ac:dyDescent="0.2">
      <c r="A99" s="14"/>
      <c r="I99" s="18"/>
      <c r="J99" s="18"/>
      <c r="K99" s="18"/>
      <c r="L99" s="18"/>
      <c r="M99" s="18"/>
      <c r="N99" s="18"/>
      <c r="O99" s="48"/>
    </row>
    <row r="100" spans="1:15" x14ac:dyDescent="0.2">
      <c r="A100" s="14"/>
      <c r="O100" s="48"/>
    </row>
    <row r="101" spans="1:15" x14ac:dyDescent="0.2">
      <c r="A101" s="14"/>
    </row>
    <row r="102" spans="1:15" x14ac:dyDescent="0.2">
      <c r="A102" s="14"/>
      <c r="G102" s="17"/>
      <c r="J102" s="17"/>
    </row>
    <row r="103" spans="1:15" x14ac:dyDescent="0.2">
      <c r="A103" s="14"/>
    </row>
    <row r="104" spans="1:15" x14ac:dyDescent="0.2">
      <c r="A104" s="14"/>
    </row>
    <row r="105" spans="1:15" x14ac:dyDescent="0.2">
      <c r="A105" s="14"/>
    </row>
    <row r="106" spans="1:15" x14ac:dyDescent="0.2">
      <c r="A106" s="14"/>
    </row>
    <row r="107" spans="1:15" x14ac:dyDescent="0.2">
      <c r="A107" s="14"/>
    </row>
    <row r="108" spans="1:15" x14ac:dyDescent="0.2">
      <c r="A108" s="14"/>
    </row>
    <row r="109" spans="1:15" x14ac:dyDescent="0.2">
      <c r="A109" s="14"/>
    </row>
    <row r="110" spans="1:15" x14ac:dyDescent="0.2">
      <c r="A110" s="14"/>
    </row>
    <row r="111" spans="1:15" x14ac:dyDescent="0.2">
      <c r="A111" s="14"/>
    </row>
    <row r="112" spans="1:15" x14ac:dyDescent="0.2">
      <c r="A112" s="14"/>
      <c r="O112" s="48"/>
    </row>
    <row r="113" spans="1:15" x14ac:dyDescent="0.2">
      <c r="A113" s="14"/>
      <c r="G113" s="17"/>
      <c r="H113" s="17"/>
      <c r="I113" s="17"/>
      <c r="J113" s="17"/>
      <c r="O113" s="48"/>
    </row>
    <row r="114" spans="1:15" x14ac:dyDescent="0.2">
      <c r="A114" s="14"/>
      <c r="O114" s="48"/>
    </row>
    <row r="115" spans="1:15" x14ac:dyDescent="0.2">
      <c r="A115" s="14"/>
      <c r="G115" s="17"/>
      <c r="H115" s="17"/>
      <c r="I115" s="17"/>
      <c r="J115" s="17"/>
      <c r="O115" s="48"/>
    </row>
    <row r="116" spans="1:15" x14ac:dyDescent="0.2">
      <c r="A116" s="14"/>
      <c r="G116" s="17"/>
      <c r="H116" s="17"/>
      <c r="I116" s="17"/>
      <c r="J116" s="17"/>
      <c r="O116" s="48"/>
    </row>
    <row r="117" spans="1:15" x14ac:dyDescent="0.2">
      <c r="A117" s="14"/>
      <c r="G117" s="17"/>
      <c r="H117" s="17"/>
      <c r="I117" s="17"/>
      <c r="J117" s="17"/>
      <c r="K117" s="17"/>
      <c r="L117" s="17"/>
      <c r="M117" s="17"/>
      <c r="N117" s="17"/>
      <c r="O117" s="48"/>
    </row>
    <row r="118" spans="1:15" x14ac:dyDescent="0.2">
      <c r="A118" s="14"/>
      <c r="G118" s="17"/>
      <c r="H118" s="17"/>
      <c r="I118" s="17"/>
      <c r="J118" s="17"/>
      <c r="O118" s="48"/>
    </row>
    <row r="119" spans="1:15" x14ac:dyDescent="0.2">
      <c r="A119" s="14"/>
      <c r="G119" s="17"/>
      <c r="H119" s="17"/>
      <c r="I119" s="17"/>
      <c r="J119" s="17"/>
      <c r="K119" s="17"/>
      <c r="L119" s="17"/>
      <c r="M119" s="17"/>
      <c r="N119" s="17"/>
      <c r="O119" s="48"/>
    </row>
    <row r="120" spans="1:15" x14ac:dyDescent="0.2">
      <c r="A120" s="14"/>
      <c r="G120" s="17"/>
      <c r="H120" s="17"/>
      <c r="I120" s="17"/>
      <c r="J120" s="17"/>
      <c r="K120" s="17"/>
      <c r="L120" s="17"/>
      <c r="M120" s="17"/>
      <c r="N120" s="17"/>
      <c r="O120" s="48"/>
    </row>
    <row r="121" spans="1:15" x14ac:dyDescent="0.2">
      <c r="A121" s="14"/>
      <c r="G121" s="17"/>
      <c r="H121" s="17"/>
      <c r="I121" s="17"/>
      <c r="J121" s="17"/>
      <c r="K121" s="17"/>
      <c r="L121" s="17"/>
      <c r="M121" s="17"/>
      <c r="N121" s="17"/>
      <c r="O121" s="48"/>
    </row>
    <row r="122" spans="1:15" x14ac:dyDescent="0.2">
      <c r="A122" s="14"/>
      <c r="O122" s="48"/>
    </row>
    <row r="123" spans="1:15" x14ac:dyDescent="0.2">
      <c r="A123" s="14"/>
    </row>
    <row r="124" spans="1:15" x14ac:dyDescent="0.2">
      <c r="A124" s="14"/>
      <c r="G124" s="17"/>
      <c r="J124" s="17"/>
    </row>
    <row r="125" spans="1:15" x14ac:dyDescent="0.2">
      <c r="A125" s="14"/>
    </row>
    <row r="126" spans="1:15" x14ac:dyDescent="0.2">
      <c r="A126" s="14"/>
    </row>
    <row r="127" spans="1:15" x14ac:dyDescent="0.2">
      <c r="A127" s="14"/>
    </row>
    <row r="128" spans="1:15" x14ac:dyDescent="0.2">
      <c r="A128" s="14"/>
    </row>
    <row r="129" spans="1:15" x14ac:dyDescent="0.2">
      <c r="A129" s="14"/>
    </row>
    <row r="130" spans="1:15" x14ac:dyDescent="0.2">
      <c r="A130" s="14"/>
    </row>
    <row r="131" spans="1:15" x14ac:dyDescent="0.2">
      <c r="A131" s="14"/>
    </row>
    <row r="132" spans="1:15" x14ac:dyDescent="0.2">
      <c r="A132" s="14"/>
    </row>
    <row r="133" spans="1:15" x14ac:dyDescent="0.2">
      <c r="A133" s="14"/>
    </row>
    <row r="134" spans="1:15" x14ac:dyDescent="0.2">
      <c r="A134" s="14"/>
      <c r="O134" s="48"/>
    </row>
    <row r="135" spans="1:15" x14ac:dyDescent="0.2">
      <c r="A135" s="14"/>
      <c r="G135" s="17"/>
      <c r="H135" s="17"/>
      <c r="I135" s="17"/>
      <c r="J135" s="17"/>
      <c r="O135" s="48"/>
    </row>
    <row r="136" spans="1:15" x14ac:dyDescent="0.2">
      <c r="A136" s="14"/>
      <c r="O136" s="48"/>
    </row>
    <row r="137" spans="1:15" x14ac:dyDescent="0.2">
      <c r="A137" s="14"/>
      <c r="O137" s="48"/>
    </row>
    <row r="138" spans="1:15" x14ac:dyDescent="0.2">
      <c r="A138" s="14"/>
      <c r="G138" s="17"/>
      <c r="H138" s="17"/>
      <c r="I138" s="17"/>
      <c r="J138" s="17"/>
      <c r="O138" s="48"/>
    </row>
    <row r="139" spans="1:15" x14ac:dyDescent="0.2">
      <c r="A139" s="14"/>
      <c r="G139" s="17"/>
      <c r="H139" s="17"/>
      <c r="I139" s="17"/>
      <c r="J139" s="17"/>
      <c r="K139" s="17"/>
      <c r="L139" s="17"/>
      <c r="M139" s="17"/>
      <c r="N139" s="17"/>
      <c r="O139" s="48"/>
    </row>
    <row r="140" spans="1:15" x14ac:dyDescent="0.2">
      <c r="A140" s="14"/>
      <c r="G140" s="17"/>
      <c r="H140" s="17"/>
      <c r="I140" s="17"/>
      <c r="J140" s="17"/>
      <c r="O140" s="48"/>
    </row>
    <row r="141" spans="1:15" x14ac:dyDescent="0.2">
      <c r="A141" s="14"/>
      <c r="I141" s="18"/>
      <c r="J141" s="18"/>
      <c r="K141" s="18"/>
      <c r="L141" s="18"/>
      <c r="M141" s="18"/>
      <c r="N141" s="18"/>
      <c r="O141" s="48"/>
    </row>
    <row r="142" spans="1:15" x14ac:dyDescent="0.2">
      <c r="A142" s="14"/>
      <c r="I142" s="18"/>
      <c r="J142" s="18"/>
      <c r="K142" s="18"/>
      <c r="L142" s="18"/>
      <c r="M142" s="18"/>
      <c r="N142" s="18"/>
      <c r="O142" s="48"/>
    </row>
    <row r="143" spans="1:15" x14ac:dyDescent="0.2">
      <c r="A143" s="14"/>
      <c r="I143" s="18"/>
      <c r="J143" s="18"/>
      <c r="K143" s="18"/>
      <c r="L143" s="18"/>
      <c r="M143" s="18"/>
      <c r="N143" s="18"/>
      <c r="O143" s="48"/>
    </row>
    <row r="144" spans="1:15" x14ac:dyDescent="0.2">
      <c r="A144" s="14"/>
      <c r="O144" s="48"/>
    </row>
    <row r="145" spans="1:15" x14ac:dyDescent="0.2">
      <c r="A145" s="14"/>
      <c r="O145" s="48"/>
    </row>
    <row r="146" spans="1:15" x14ac:dyDescent="0.2">
      <c r="A146" s="14"/>
      <c r="G146" s="17"/>
      <c r="H146" s="17"/>
      <c r="I146" s="17"/>
      <c r="J146" s="17"/>
      <c r="O146" s="48"/>
    </row>
    <row r="147" spans="1:15" x14ac:dyDescent="0.2">
      <c r="A147" s="14"/>
      <c r="O147" s="48"/>
    </row>
    <row r="148" spans="1:15" x14ac:dyDescent="0.2">
      <c r="A148" s="14"/>
      <c r="O148" s="48"/>
    </row>
    <row r="149" spans="1:15" x14ac:dyDescent="0.2">
      <c r="A149" s="14"/>
      <c r="G149" s="17"/>
      <c r="H149" s="17"/>
      <c r="I149" s="17"/>
      <c r="J149" s="17"/>
      <c r="O149" s="48"/>
    </row>
    <row r="150" spans="1:15" x14ac:dyDescent="0.2">
      <c r="A150" s="14"/>
      <c r="G150" s="17"/>
      <c r="H150" s="17"/>
      <c r="I150" s="17"/>
      <c r="J150" s="17"/>
      <c r="K150" s="17"/>
      <c r="L150" s="17"/>
      <c r="M150" s="17"/>
      <c r="O150" s="48"/>
    </row>
    <row r="151" spans="1:15" x14ac:dyDescent="0.2">
      <c r="A151" s="14"/>
      <c r="G151" s="17"/>
      <c r="H151" s="17"/>
      <c r="I151" s="17"/>
      <c r="J151" s="17"/>
      <c r="O151" s="48"/>
    </row>
    <row r="152" spans="1:15" x14ac:dyDescent="0.2">
      <c r="A152" s="14"/>
      <c r="I152" s="18"/>
      <c r="J152" s="18"/>
      <c r="K152" s="18"/>
      <c r="L152" s="18"/>
      <c r="M152" s="18"/>
      <c r="N152" s="18"/>
      <c r="O152" s="48"/>
    </row>
    <row r="153" spans="1:15" x14ac:dyDescent="0.2">
      <c r="A153" s="14"/>
      <c r="I153" s="18"/>
      <c r="J153" s="18"/>
      <c r="K153" s="18"/>
      <c r="L153" s="18"/>
      <c r="M153" s="18"/>
      <c r="N153" s="18"/>
      <c r="O153" s="48"/>
    </row>
    <row r="154" spans="1:15" x14ac:dyDescent="0.2">
      <c r="A154" s="14"/>
      <c r="I154" s="18"/>
      <c r="J154" s="18"/>
      <c r="K154" s="18"/>
      <c r="L154" s="18"/>
      <c r="M154" s="18"/>
      <c r="N154" s="18"/>
      <c r="O154" s="48"/>
    </row>
    <row r="155" spans="1:15" x14ac:dyDescent="0.2">
      <c r="A155" s="14"/>
      <c r="O155" s="48"/>
    </row>
    <row r="156" spans="1:15" x14ac:dyDescent="0.2">
      <c r="A156" s="14"/>
    </row>
    <row r="157" spans="1:15" x14ac:dyDescent="0.2">
      <c r="A157" s="14"/>
      <c r="G157" s="17"/>
      <c r="J157" s="17"/>
    </row>
    <row r="158" spans="1:15" x14ac:dyDescent="0.2">
      <c r="A158" s="14"/>
    </row>
    <row r="159" spans="1:15" x14ac:dyDescent="0.2">
      <c r="A159" s="14"/>
    </row>
    <row r="160" spans="1:15" x14ac:dyDescent="0.2">
      <c r="A160" s="14"/>
    </row>
    <row r="161" spans="1:15" x14ac:dyDescent="0.2">
      <c r="A161" s="14"/>
    </row>
    <row r="162" spans="1:15" x14ac:dyDescent="0.2">
      <c r="A162" s="14"/>
    </row>
    <row r="163" spans="1:15" x14ac:dyDescent="0.2">
      <c r="A163" s="14"/>
    </row>
    <row r="164" spans="1:15" x14ac:dyDescent="0.2">
      <c r="A164" s="14"/>
    </row>
    <row r="165" spans="1:15" x14ac:dyDescent="0.2">
      <c r="A165" s="14"/>
    </row>
    <row r="166" spans="1:15" x14ac:dyDescent="0.2">
      <c r="A166" s="14"/>
    </row>
    <row r="167" spans="1:15" x14ac:dyDescent="0.2">
      <c r="A167" s="14"/>
      <c r="O167" s="48"/>
    </row>
    <row r="168" spans="1:15" x14ac:dyDescent="0.2">
      <c r="A168" s="14"/>
      <c r="O168" s="48"/>
    </row>
    <row r="169" spans="1:15" x14ac:dyDescent="0.2">
      <c r="A169" s="14"/>
      <c r="O169" s="48"/>
    </row>
    <row r="170" spans="1:15" x14ac:dyDescent="0.2">
      <c r="A170" s="14"/>
      <c r="O170" s="48"/>
    </row>
    <row r="171" spans="1:15" x14ac:dyDescent="0.2">
      <c r="A171" s="14"/>
      <c r="O171" s="48"/>
    </row>
    <row r="172" spans="1:15" x14ac:dyDescent="0.2">
      <c r="A172" s="14"/>
      <c r="O172" s="48"/>
    </row>
    <row r="173" spans="1:15" x14ac:dyDescent="0.2">
      <c r="A173" s="14"/>
      <c r="O173" s="48"/>
    </row>
    <row r="174" spans="1:15" x14ac:dyDescent="0.2">
      <c r="A174" s="14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48"/>
    </row>
    <row r="175" spans="1:15" x14ac:dyDescent="0.2">
      <c r="A175" s="14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48"/>
    </row>
    <row r="176" spans="1:15" x14ac:dyDescent="0.2">
      <c r="A176" s="14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48"/>
    </row>
    <row r="177" spans="1:15" x14ac:dyDescent="0.2">
      <c r="A177" s="14"/>
      <c r="O177" s="48"/>
    </row>
  </sheetData>
  <phoneticPr fontId="0" type="noConversion"/>
  <pageMargins left="0.75" right="0.75" top="1" bottom="1" header="0.4921259845" footer="0.4921259845"/>
  <pageSetup paperSize="9" orientation="portrait" horizontalDpi="1200" verticalDpi="12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80"/>
  <sheetViews>
    <sheetView topLeftCell="A28" workbookViewId="0">
      <selection activeCell="B13" sqref="B13:P75"/>
    </sheetView>
  </sheetViews>
  <sheetFormatPr defaultRowHeight="12.75" x14ac:dyDescent="0.2"/>
  <cols>
    <col min="1" max="1" width="20.28515625" bestFit="1" customWidth="1"/>
  </cols>
  <sheetData>
    <row r="1" spans="1:19" x14ac:dyDescent="0.2">
      <c r="B1">
        <v>1</v>
      </c>
      <c r="C1">
        <f>B1+1</f>
        <v>2</v>
      </c>
      <c r="D1">
        <f t="shared" ref="D1:P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</row>
    <row r="2" spans="1:19" x14ac:dyDescent="0.2">
      <c r="B2" t="s">
        <v>179</v>
      </c>
      <c r="C2" t="s">
        <v>180</v>
      </c>
      <c r="D2" t="s">
        <v>158</v>
      </c>
      <c r="E2" s="67" t="s">
        <v>181</v>
      </c>
      <c r="F2" s="67" t="s">
        <v>182</v>
      </c>
      <c r="G2" s="68" t="s">
        <v>183</v>
      </c>
      <c r="H2" s="68" t="s">
        <v>184</v>
      </c>
      <c r="I2" s="69" t="s">
        <v>185</v>
      </c>
      <c r="J2" s="69" t="s">
        <v>186</v>
      </c>
      <c r="K2" s="69" t="s">
        <v>187</v>
      </c>
      <c r="L2" s="69" t="s">
        <v>152</v>
      </c>
      <c r="M2" s="68" t="s">
        <v>188</v>
      </c>
      <c r="N2" s="68" t="s">
        <v>153</v>
      </c>
      <c r="O2" s="68" t="s">
        <v>189</v>
      </c>
      <c r="P2" s="68" t="s">
        <v>190</v>
      </c>
    </row>
    <row r="3" spans="1:19" x14ac:dyDescent="0.2">
      <c r="A3" s="70" t="s">
        <v>191</v>
      </c>
      <c r="B3" s="70"/>
      <c r="C3" s="70">
        <v>3</v>
      </c>
      <c r="D3" s="70">
        <v>4</v>
      </c>
      <c r="E3" s="70">
        <v>46.005165343008855</v>
      </c>
      <c r="F3" s="70">
        <v>32.203615740106208</v>
      </c>
      <c r="G3" s="70">
        <v>22.542531018074328</v>
      </c>
      <c r="H3" s="70">
        <v>42.927760172311466</v>
      </c>
      <c r="I3" s="70">
        <v>1887.5493028971828</v>
      </c>
      <c r="J3" s="70">
        <v>1887.5493028971828</v>
      </c>
      <c r="K3" s="70">
        <v>1887.5493028971828</v>
      </c>
      <c r="L3" s="70">
        <v>1359.0354980859713</v>
      </c>
      <c r="M3" s="70">
        <v>314.02416141037344</v>
      </c>
      <c r="N3" s="70">
        <v>219.81691298726139</v>
      </c>
      <c r="O3" s="70">
        <v>153.87183909108299</v>
      </c>
      <c r="P3" s="70">
        <v>107.71028736375806</v>
      </c>
    </row>
    <row r="4" spans="1:19" x14ac:dyDescent="0.2">
      <c r="A4" s="70" t="s">
        <v>192</v>
      </c>
      <c r="B4" s="70"/>
      <c r="C4" s="70">
        <v>3</v>
      </c>
      <c r="D4" s="70">
        <v>5</v>
      </c>
      <c r="E4" s="70">
        <v>32.171606021659969</v>
      </c>
      <c r="F4" s="70">
        <v>22.520124215161935</v>
      </c>
      <c r="G4" s="70">
        <v>15.764086950613356</v>
      </c>
      <c r="H4" s="70">
        <v>33.840210239738909</v>
      </c>
      <c r="I4" s="70">
        <v>838.62746200408537</v>
      </c>
      <c r="J4" s="70">
        <v>838.62746200408537</v>
      </c>
      <c r="K4" s="70">
        <v>838.62746200408537</v>
      </c>
      <c r="L4" s="70">
        <v>603.81177264294195</v>
      </c>
      <c r="M4" s="70">
        <v>284.94140518352043</v>
      </c>
      <c r="N4" s="70">
        <v>158.75306860224711</v>
      </c>
      <c r="O4" s="70">
        <v>111.12714802157296</v>
      </c>
      <c r="P4" s="70">
        <v>77.789003615101095</v>
      </c>
    </row>
    <row r="5" spans="1:19" x14ac:dyDescent="0.2">
      <c r="A5" s="70" t="s">
        <v>193</v>
      </c>
      <c r="B5" s="70"/>
      <c r="C5" s="70">
        <v>3</v>
      </c>
      <c r="D5" s="70">
        <v>6</v>
      </c>
      <c r="E5" s="70">
        <v>112.89814893293308</v>
      </c>
      <c r="F5" s="70">
        <v>79.028704253053178</v>
      </c>
      <c r="G5" s="70">
        <v>55.320092977137179</v>
      </c>
      <c r="H5" s="70">
        <v>0</v>
      </c>
      <c r="I5" s="70">
        <v>0</v>
      </c>
      <c r="J5" s="70">
        <v>0</v>
      </c>
      <c r="K5" s="70">
        <v>0</v>
      </c>
      <c r="L5" s="70">
        <v>671.73290255805921</v>
      </c>
      <c r="M5" s="70">
        <v>470.21303179064142</v>
      </c>
      <c r="N5" s="70">
        <v>329.14912225344909</v>
      </c>
      <c r="O5" s="70">
        <v>230.4043855774143</v>
      </c>
      <c r="P5" s="70">
        <v>161.28306990419009</v>
      </c>
    </row>
    <row r="6" spans="1:19" x14ac:dyDescent="0.2">
      <c r="A6" s="70" t="s">
        <v>194</v>
      </c>
      <c r="B6" s="70"/>
      <c r="C6" s="70">
        <v>2</v>
      </c>
      <c r="D6" s="70">
        <v>1</v>
      </c>
      <c r="E6" s="70">
        <v>0</v>
      </c>
      <c r="F6" s="70">
        <v>0</v>
      </c>
      <c r="G6" s="70">
        <v>0</v>
      </c>
      <c r="H6" s="70">
        <v>0</v>
      </c>
      <c r="I6" s="70">
        <v>0</v>
      </c>
      <c r="J6" s="70">
        <v>0</v>
      </c>
      <c r="K6" s="70">
        <v>0</v>
      </c>
      <c r="L6" s="70">
        <v>0</v>
      </c>
      <c r="M6" s="70">
        <v>0</v>
      </c>
      <c r="N6" s="70">
        <v>0</v>
      </c>
      <c r="O6" s="70">
        <v>0</v>
      </c>
      <c r="P6" s="70">
        <v>0</v>
      </c>
    </row>
    <row r="7" spans="1:19" x14ac:dyDescent="0.2">
      <c r="A7" s="70" t="s">
        <v>195</v>
      </c>
      <c r="B7" s="70"/>
      <c r="C7" s="70">
        <v>2</v>
      </c>
      <c r="D7" s="70">
        <v>2</v>
      </c>
      <c r="E7" s="70">
        <v>0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</row>
    <row r="8" spans="1:19" x14ac:dyDescent="0.2">
      <c r="A8" s="70" t="s">
        <v>196</v>
      </c>
      <c r="B8" s="70"/>
      <c r="C8" s="70">
        <v>2</v>
      </c>
      <c r="D8" s="70">
        <v>3</v>
      </c>
      <c r="E8" s="70">
        <v>0</v>
      </c>
      <c r="F8" s="70">
        <v>0</v>
      </c>
      <c r="G8" s="70">
        <v>0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0</v>
      </c>
      <c r="N8" s="70">
        <v>0</v>
      </c>
      <c r="O8" s="70">
        <v>0</v>
      </c>
      <c r="P8" s="70">
        <v>0</v>
      </c>
    </row>
    <row r="9" spans="1:19" x14ac:dyDescent="0.2">
      <c r="A9" s="70" t="s">
        <v>197</v>
      </c>
      <c r="B9" s="70"/>
      <c r="C9" s="70">
        <v>1</v>
      </c>
      <c r="D9" s="70">
        <v>1</v>
      </c>
      <c r="E9" s="70">
        <v>0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</row>
    <row r="10" spans="1:19" x14ac:dyDescent="0.2">
      <c r="A10" s="70" t="s">
        <v>198</v>
      </c>
      <c r="B10" s="70"/>
      <c r="C10" s="70">
        <v>1</v>
      </c>
      <c r="D10" s="70">
        <v>2</v>
      </c>
      <c r="E10" s="70">
        <v>0</v>
      </c>
      <c r="F10" s="70">
        <v>0</v>
      </c>
      <c r="G10" s="70">
        <v>0</v>
      </c>
      <c r="H10" s="70">
        <v>0</v>
      </c>
      <c r="I10" s="70">
        <v>0</v>
      </c>
      <c r="J10" s="70">
        <v>0</v>
      </c>
      <c r="K10" s="70">
        <v>0</v>
      </c>
      <c r="L10" s="70">
        <v>0</v>
      </c>
      <c r="M10" s="70">
        <v>0</v>
      </c>
      <c r="N10" s="70">
        <v>0</v>
      </c>
      <c r="O10" s="70">
        <v>0</v>
      </c>
      <c r="P10" s="70">
        <v>0</v>
      </c>
    </row>
    <row r="11" spans="1:19" x14ac:dyDescent="0.2">
      <c r="A11" s="70" t="s">
        <v>199</v>
      </c>
      <c r="B11" s="70"/>
      <c r="C11" s="70">
        <v>1</v>
      </c>
      <c r="D11" s="70">
        <v>3</v>
      </c>
      <c r="E11" s="70">
        <v>0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</row>
    <row r="12" spans="1:19" x14ac:dyDescent="0.2">
      <c r="B12" t="s">
        <v>179</v>
      </c>
      <c r="C12" t="s">
        <v>180</v>
      </c>
      <c r="D12" t="s">
        <v>158</v>
      </c>
      <c r="E12" t="s">
        <v>164</v>
      </c>
      <c r="F12" t="s">
        <v>165</v>
      </c>
      <c r="G12" t="s">
        <v>389</v>
      </c>
      <c r="H12" t="s">
        <v>166</v>
      </c>
      <c r="I12" t="s">
        <v>148</v>
      </c>
      <c r="J12" s="86" t="s">
        <v>390</v>
      </c>
      <c r="K12" s="86" t="s">
        <v>149</v>
      </c>
      <c r="L12" s="86" t="s">
        <v>168</v>
      </c>
      <c r="M12" s="86" t="s">
        <v>169</v>
      </c>
      <c r="N12" s="86" t="s">
        <v>152</v>
      </c>
      <c r="O12" s="86" t="s">
        <v>170</v>
      </c>
      <c r="P12" t="s">
        <v>153</v>
      </c>
    </row>
    <row r="13" spans="1:19" x14ac:dyDescent="0.2">
      <c r="A13" s="1" t="s">
        <v>200</v>
      </c>
      <c r="B13" s="1">
        <v>3</v>
      </c>
      <c r="C13" s="1">
        <v>3</v>
      </c>
      <c r="D13" s="1">
        <v>4</v>
      </c>
      <c r="E13">
        <v>881.16883116883116</v>
      </c>
      <c r="F13">
        <v>881.16883116883116</v>
      </c>
      <c r="G13">
        <v>881.16883116883116</v>
      </c>
      <c r="H13">
        <v>405.51948051948051</v>
      </c>
      <c r="I13">
        <v>274.02597402597405</v>
      </c>
      <c r="J13">
        <f>I13*0.5</f>
        <v>137.01298701298703</v>
      </c>
      <c r="K13">
        <f>J13*0.5</f>
        <v>68.506493506493513</v>
      </c>
      <c r="L13">
        <v>126.2338</v>
      </c>
      <c r="M13">
        <v>126.2338</v>
      </c>
      <c r="N13">
        <v>126.2338</v>
      </c>
      <c r="O13">
        <v>126.2338</v>
      </c>
      <c r="P13">
        <v>274.02597402597405</v>
      </c>
      <c r="Q13" s="71"/>
    </row>
    <row r="14" spans="1:19" x14ac:dyDescent="0.2">
      <c r="A14" s="1" t="s">
        <v>201</v>
      </c>
      <c r="B14" s="1">
        <v>3</v>
      </c>
      <c r="C14" s="1">
        <v>3</v>
      </c>
      <c r="D14" s="1">
        <v>5</v>
      </c>
      <c r="E14">
        <v>603.2467532467532</v>
      </c>
      <c r="F14">
        <v>603.2467532467532</v>
      </c>
      <c r="G14">
        <v>603.2467532467532</v>
      </c>
      <c r="H14">
        <v>449.02597402597405</v>
      </c>
      <c r="I14">
        <v>400.64935064935065</v>
      </c>
      <c r="J14">
        <v>326.44229999999999</v>
      </c>
      <c r="K14">
        <v>326.44229999999999</v>
      </c>
      <c r="L14">
        <v>56.693510000000003</v>
      </c>
      <c r="M14">
        <v>56.693510000000003</v>
      </c>
      <c r="N14">
        <v>56.693510000000003</v>
      </c>
      <c r="O14">
        <v>56.693510000000003</v>
      </c>
      <c r="P14">
        <v>400.64935064935065</v>
      </c>
      <c r="Q14" s="71"/>
    </row>
    <row r="15" spans="1:19" x14ac:dyDescent="0.2">
      <c r="A15" s="1" t="s">
        <v>202</v>
      </c>
      <c r="B15" s="1">
        <v>3</v>
      </c>
      <c r="C15" s="1">
        <v>3</v>
      </c>
      <c r="D15" s="1">
        <v>6</v>
      </c>
      <c r="E15">
        <v>1376.6233766233765</v>
      </c>
      <c r="F15">
        <v>1376.6233766233765</v>
      </c>
      <c r="G15">
        <v>1376.6233766233765</v>
      </c>
      <c r="H15">
        <v>1063.6363636363637</v>
      </c>
      <c r="I15">
        <v>841.55844155844159</v>
      </c>
      <c r="J15">
        <v>654.95123999999998</v>
      </c>
      <c r="K15">
        <v>654.95123999999998</v>
      </c>
      <c r="L15">
        <v>293.76620000000003</v>
      </c>
      <c r="M15">
        <v>293.76620000000003</v>
      </c>
      <c r="N15">
        <v>293.76620000000003</v>
      </c>
      <c r="O15">
        <v>293.76620000000003</v>
      </c>
      <c r="P15">
        <v>841.55844155844159</v>
      </c>
      <c r="Q15" s="71"/>
    </row>
    <row r="16" spans="1:19" x14ac:dyDescent="0.2">
      <c r="A16" s="1" t="s">
        <v>203</v>
      </c>
      <c r="B16" s="1">
        <v>3</v>
      </c>
      <c r="C16" s="1">
        <v>2</v>
      </c>
      <c r="D16" s="1">
        <v>1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72" t="s">
        <v>140</v>
      </c>
      <c r="R16" s="72" t="s">
        <v>204</v>
      </c>
      <c r="S16" s="71"/>
    </row>
    <row r="17" spans="1:19" x14ac:dyDescent="0.2">
      <c r="A17" s="1" t="s">
        <v>205</v>
      </c>
      <c r="B17" s="1">
        <v>3</v>
      </c>
      <c r="C17" s="1">
        <v>2</v>
      </c>
      <c r="D17" s="1">
        <v>2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72" t="s">
        <v>206</v>
      </c>
      <c r="R17" s="72" t="s">
        <v>207</v>
      </c>
      <c r="S17" s="71"/>
    </row>
    <row r="18" spans="1:19" x14ac:dyDescent="0.2">
      <c r="A18" s="1" t="s">
        <v>208</v>
      </c>
      <c r="B18" s="1">
        <v>3</v>
      </c>
      <c r="C18" s="1">
        <v>2</v>
      </c>
      <c r="D18" s="1">
        <v>3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71"/>
      <c r="R18" s="71"/>
      <c r="S18" s="71"/>
    </row>
    <row r="19" spans="1:19" x14ac:dyDescent="0.2">
      <c r="A19" s="1" t="s">
        <v>209</v>
      </c>
      <c r="B19" s="1">
        <v>3</v>
      </c>
      <c r="C19" s="1">
        <v>1</v>
      </c>
      <c r="D19" s="1">
        <v>1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71"/>
    </row>
    <row r="20" spans="1:19" x14ac:dyDescent="0.2">
      <c r="A20" s="1" t="s">
        <v>210</v>
      </c>
      <c r="B20" s="1">
        <v>3</v>
      </c>
      <c r="C20" s="1">
        <v>1</v>
      </c>
      <c r="D20" s="1">
        <v>2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71"/>
    </row>
    <row r="21" spans="1:19" x14ac:dyDescent="0.2">
      <c r="A21" s="1" t="s">
        <v>211</v>
      </c>
      <c r="B21" s="1">
        <v>3</v>
      </c>
      <c r="C21" s="1">
        <v>1</v>
      </c>
      <c r="D21" s="1">
        <v>3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71"/>
    </row>
    <row r="22" spans="1:19" x14ac:dyDescent="0.2">
      <c r="A22" s="73" t="s">
        <v>200</v>
      </c>
      <c r="B22" s="73">
        <v>4</v>
      </c>
      <c r="C22" s="73">
        <v>3</v>
      </c>
      <c r="D22" s="73">
        <v>4</v>
      </c>
      <c r="E22">
        <v>881.16883116883116</v>
      </c>
      <c r="F22">
        <v>881.16883116883116</v>
      </c>
      <c r="G22">
        <v>881.16883116883116</v>
      </c>
      <c r="H22">
        <v>405.51948051948051</v>
      </c>
      <c r="I22">
        <v>274.02597402597405</v>
      </c>
      <c r="J22">
        <f>I22*0.5</f>
        <v>137.01298701298703</v>
      </c>
      <c r="K22">
        <f>J22*0.5</f>
        <v>68.506493506493513</v>
      </c>
      <c r="L22">
        <v>126.2338</v>
      </c>
      <c r="M22">
        <v>126.2338</v>
      </c>
      <c r="N22">
        <v>126.2338</v>
      </c>
      <c r="O22">
        <v>126.2338</v>
      </c>
      <c r="P22">
        <v>274.02597402597405</v>
      </c>
    </row>
    <row r="23" spans="1:19" x14ac:dyDescent="0.2">
      <c r="A23" s="73" t="s">
        <v>201</v>
      </c>
      <c r="B23" s="73">
        <v>4</v>
      </c>
      <c r="C23" s="73">
        <v>3</v>
      </c>
      <c r="D23" s="73">
        <v>5</v>
      </c>
      <c r="E23">
        <v>603.2467532467532</v>
      </c>
      <c r="F23">
        <v>603.2467532467532</v>
      </c>
      <c r="G23">
        <v>603.2467532467532</v>
      </c>
      <c r="H23">
        <v>449.02597402597405</v>
      </c>
      <c r="I23">
        <v>400.64935064935065</v>
      </c>
      <c r="J23">
        <v>326.44229999999999</v>
      </c>
      <c r="K23">
        <v>326.44229999999999</v>
      </c>
      <c r="L23">
        <v>56.693510000000003</v>
      </c>
      <c r="M23">
        <v>56.693510000000003</v>
      </c>
      <c r="N23">
        <v>56.693510000000003</v>
      </c>
      <c r="O23">
        <v>56.693510000000003</v>
      </c>
      <c r="P23">
        <v>400.64935064935065</v>
      </c>
    </row>
    <row r="24" spans="1:19" x14ac:dyDescent="0.2">
      <c r="A24" s="73" t="s">
        <v>202</v>
      </c>
      <c r="B24" s="73">
        <v>4</v>
      </c>
      <c r="C24" s="73">
        <v>3</v>
      </c>
      <c r="D24" s="73">
        <v>6</v>
      </c>
      <c r="E24">
        <v>1376.6233766233765</v>
      </c>
      <c r="F24">
        <v>1376.6233766233765</v>
      </c>
      <c r="G24">
        <v>1376.6233766233765</v>
      </c>
      <c r="H24">
        <v>1063.6363636363637</v>
      </c>
      <c r="I24">
        <v>841.55844155844159</v>
      </c>
      <c r="J24">
        <v>654.95123999999998</v>
      </c>
      <c r="K24">
        <v>654.95123999999998</v>
      </c>
      <c r="L24">
        <v>293.76620000000003</v>
      </c>
      <c r="M24">
        <v>293.76620000000003</v>
      </c>
      <c r="N24">
        <v>293.76620000000003</v>
      </c>
      <c r="O24">
        <v>293.76620000000003</v>
      </c>
      <c r="P24">
        <v>841.55844155844159</v>
      </c>
    </row>
    <row r="25" spans="1:19" x14ac:dyDescent="0.2">
      <c r="A25" s="73" t="s">
        <v>203</v>
      </c>
      <c r="B25" s="73">
        <v>4</v>
      </c>
      <c r="C25" s="73">
        <v>2</v>
      </c>
      <c r="D25" s="73">
        <v>1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</row>
    <row r="26" spans="1:19" x14ac:dyDescent="0.2">
      <c r="A26" s="73" t="s">
        <v>205</v>
      </c>
      <c r="B26" s="73">
        <v>4</v>
      </c>
      <c r="C26" s="73">
        <v>2</v>
      </c>
      <c r="D26" s="73">
        <v>2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</row>
    <row r="27" spans="1:19" x14ac:dyDescent="0.2">
      <c r="A27" s="73" t="s">
        <v>208</v>
      </c>
      <c r="B27" s="73">
        <v>4</v>
      </c>
      <c r="C27" s="73">
        <v>2</v>
      </c>
      <c r="D27" s="73">
        <v>3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9" x14ac:dyDescent="0.2">
      <c r="A28" s="73" t="s">
        <v>209</v>
      </c>
      <c r="B28" s="73">
        <v>4</v>
      </c>
      <c r="C28" s="73">
        <v>1</v>
      </c>
      <c r="D28" s="73">
        <v>1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</row>
    <row r="29" spans="1:19" x14ac:dyDescent="0.2">
      <c r="A29" s="73" t="s">
        <v>210</v>
      </c>
      <c r="B29" s="73">
        <v>4</v>
      </c>
      <c r="C29" s="73">
        <v>1</v>
      </c>
      <c r="D29" s="73">
        <v>2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</row>
    <row r="30" spans="1:19" x14ac:dyDescent="0.2">
      <c r="A30" s="73" t="s">
        <v>211</v>
      </c>
      <c r="B30" s="73">
        <v>4</v>
      </c>
      <c r="C30" s="73">
        <v>1</v>
      </c>
      <c r="D30" s="73">
        <v>3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</row>
    <row r="31" spans="1:19" x14ac:dyDescent="0.2">
      <c r="A31" t="s">
        <v>200</v>
      </c>
      <c r="B31" s="73">
        <v>5</v>
      </c>
      <c r="C31" s="1">
        <v>3</v>
      </c>
      <c r="D31" s="1">
        <v>4</v>
      </c>
      <c r="E31">
        <v>881.16883116883116</v>
      </c>
      <c r="F31">
        <v>881.16883116883116</v>
      </c>
      <c r="G31">
        <v>881.16883116883116</v>
      </c>
      <c r="H31">
        <v>405.51948051948051</v>
      </c>
      <c r="I31">
        <v>274.02597402597405</v>
      </c>
      <c r="J31">
        <f>I31*0.5</f>
        <v>137.01298701298703</v>
      </c>
      <c r="K31">
        <f>J31*0.5</f>
        <v>68.506493506493513</v>
      </c>
      <c r="L31">
        <v>126.2338</v>
      </c>
      <c r="M31">
        <v>126.2338</v>
      </c>
      <c r="N31">
        <v>126.2338</v>
      </c>
      <c r="O31">
        <v>126.2338</v>
      </c>
      <c r="P31">
        <v>274.02597402597405</v>
      </c>
    </row>
    <row r="32" spans="1:19" x14ac:dyDescent="0.2">
      <c r="A32" t="s">
        <v>201</v>
      </c>
      <c r="B32" s="73">
        <v>5</v>
      </c>
      <c r="C32" s="1">
        <v>3</v>
      </c>
      <c r="D32" s="1">
        <v>5</v>
      </c>
      <c r="E32">
        <v>603.2467532467532</v>
      </c>
      <c r="F32">
        <v>603.2467532467532</v>
      </c>
      <c r="G32">
        <v>603.2467532467532</v>
      </c>
      <c r="H32">
        <v>449.02597402597405</v>
      </c>
      <c r="I32">
        <v>400.64935064935065</v>
      </c>
      <c r="J32">
        <v>326.44229999999999</v>
      </c>
      <c r="K32">
        <v>326.44229999999999</v>
      </c>
      <c r="L32">
        <v>56.693510000000003</v>
      </c>
      <c r="M32">
        <v>56.693510000000003</v>
      </c>
      <c r="N32">
        <v>56.693510000000003</v>
      </c>
      <c r="O32">
        <v>56.693510000000003</v>
      </c>
      <c r="P32">
        <v>400.64935064935065</v>
      </c>
    </row>
    <row r="33" spans="1:19" x14ac:dyDescent="0.2">
      <c r="A33" t="s">
        <v>202</v>
      </c>
      <c r="B33" s="73">
        <v>5</v>
      </c>
      <c r="C33" s="1">
        <v>3</v>
      </c>
      <c r="D33" s="1">
        <v>6</v>
      </c>
      <c r="E33">
        <v>1376.6233766233765</v>
      </c>
      <c r="F33">
        <v>1376.6233766233765</v>
      </c>
      <c r="G33">
        <v>1376.6233766233765</v>
      </c>
      <c r="H33">
        <v>1063.6363636363637</v>
      </c>
      <c r="I33">
        <v>841.55844155844159</v>
      </c>
      <c r="J33">
        <v>654.95123999999998</v>
      </c>
      <c r="K33">
        <v>654.95123999999998</v>
      </c>
      <c r="L33">
        <v>293.76620000000003</v>
      </c>
      <c r="M33">
        <v>293.76620000000003</v>
      </c>
      <c r="N33">
        <v>293.76620000000003</v>
      </c>
      <c r="O33">
        <v>293.76620000000003</v>
      </c>
      <c r="P33">
        <v>841.55844155844159</v>
      </c>
    </row>
    <row r="34" spans="1:19" x14ac:dyDescent="0.2">
      <c r="A34" t="s">
        <v>203</v>
      </c>
      <c r="B34" s="73">
        <v>5</v>
      </c>
      <c r="C34" s="1">
        <v>2</v>
      </c>
      <c r="D34" s="1">
        <v>1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</row>
    <row r="35" spans="1:19" x14ac:dyDescent="0.2">
      <c r="A35" t="s">
        <v>205</v>
      </c>
      <c r="B35" s="73">
        <v>5</v>
      </c>
      <c r="C35" s="1">
        <v>2</v>
      </c>
      <c r="D35" s="1">
        <v>2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</row>
    <row r="36" spans="1:19" x14ac:dyDescent="0.2">
      <c r="A36" t="s">
        <v>208</v>
      </c>
      <c r="B36" s="73">
        <v>5</v>
      </c>
      <c r="C36" s="1">
        <v>2</v>
      </c>
      <c r="D36" s="1">
        <v>3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</row>
    <row r="37" spans="1:19" x14ac:dyDescent="0.2">
      <c r="A37" t="s">
        <v>209</v>
      </c>
      <c r="B37" s="73">
        <v>5</v>
      </c>
      <c r="C37" s="1">
        <v>1</v>
      </c>
      <c r="D37" s="1">
        <v>1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9" x14ac:dyDescent="0.2">
      <c r="A38" t="s">
        <v>210</v>
      </c>
      <c r="B38" s="73">
        <v>5</v>
      </c>
      <c r="C38" s="1">
        <v>1</v>
      </c>
      <c r="D38" s="1">
        <v>2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</row>
    <row r="39" spans="1:19" x14ac:dyDescent="0.2">
      <c r="A39" t="s">
        <v>211</v>
      </c>
      <c r="B39" s="73">
        <v>5</v>
      </c>
      <c r="C39" s="1">
        <v>1</v>
      </c>
      <c r="D39" s="1">
        <v>3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</row>
    <row r="40" spans="1:19" x14ac:dyDescent="0.2">
      <c r="A40" s="73" t="s">
        <v>200</v>
      </c>
      <c r="B40" s="73">
        <v>6</v>
      </c>
      <c r="C40" s="73">
        <v>3</v>
      </c>
      <c r="D40" s="73">
        <v>4</v>
      </c>
      <c r="E40">
        <v>881.16883116883116</v>
      </c>
      <c r="F40">
        <v>881.16883116883116</v>
      </c>
      <c r="G40">
        <v>881.16883116883116</v>
      </c>
      <c r="H40">
        <v>405.51948051948051</v>
      </c>
      <c r="I40">
        <v>274.02597402597405</v>
      </c>
      <c r="J40">
        <f>I40*0.5</f>
        <v>137.01298701298703</v>
      </c>
      <c r="K40">
        <f>J40*0.5</f>
        <v>68.506493506493513</v>
      </c>
      <c r="L40">
        <v>126.2338</v>
      </c>
      <c r="M40">
        <v>126.2338</v>
      </c>
      <c r="N40">
        <v>126.2338</v>
      </c>
      <c r="O40">
        <v>126.2338</v>
      </c>
      <c r="P40">
        <v>274.02597402597405</v>
      </c>
      <c r="Q40" s="74"/>
    </row>
    <row r="41" spans="1:19" x14ac:dyDescent="0.2">
      <c r="A41" s="73" t="s">
        <v>201</v>
      </c>
      <c r="B41" s="73">
        <v>6</v>
      </c>
      <c r="C41" s="73">
        <v>3</v>
      </c>
      <c r="D41" s="73">
        <v>5</v>
      </c>
      <c r="E41">
        <v>603.2467532467532</v>
      </c>
      <c r="F41">
        <v>603.2467532467532</v>
      </c>
      <c r="G41">
        <v>603.2467532467532</v>
      </c>
      <c r="H41">
        <v>449.02597402597405</v>
      </c>
      <c r="I41">
        <v>400.64935064935065</v>
      </c>
      <c r="J41">
        <v>326.44229999999999</v>
      </c>
      <c r="K41">
        <v>326.44229999999999</v>
      </c>
      <c r="L41">
        <v>56.693510000000003</v>
      </c>
      <c r="M41">
        <v>56.693510000000003</v>
      </c>
      <c r="N41">
        <v>56.693510000000003</v>
      </c>
      <c r="O41">
        <v>56.693510000000003</v>
      </c>
      <c r="P41">
        <v>400.64935064935065</v>
      </c>
      <c r="Q41" s="74"/>
    </row>
    <row r="42" spans="1:19" x14ac:dyDescent="0.2">
      <c r="A42" s="73" t="s">
        <v>202</v>
      </c>
      <c r="B42" s="73">
        <v>6</v>
      </c>
      <c r="C42" s="73">
        <v>3</v>
      </c>
      <c r="D42" s="73">
        <v>6</v>
      </c>
      <c r="E42">
        <v>1376.6233766233765</v>
      </c>
      <c r="F42">
        <v>1376.6233766233765</v>
      </c>
      <c r="G42">
        <v>1376.6233766233765</v>
      </c>
      <c r="H42">
        <v>1063.6363636363637</v>
      </c>
      <c r="I42">
        <v>841.55844155844159</v>
      </c>
      <c r="J42">
        <v>654.95123999999998</v>
      </c>
      <c r="K42">
        <v>654.95123999999998</v>
      </c>
      <c r="L42">
        <v>293.76620000000003</v>
      </c>
      <c r="M42">
        <v>293.76620000000003</v>
      </c>
      <c r="N42">
        <v>293.76620000000003</v>
      </c>
      <c r="O42">
        <v>293.76620000000003</v>
      </c>
      <c r="P42">
        <v>841.55844155844159</v>
      </c>
      <c r="Q42" s="74"/>
    </row>
    <row r="43" spans="1:19" x14ac:dyDescent="0.2">
      <c r="A43" s="73" t="s">
        <v>203</v>
      </c>
      <c r="B43" s="73">
        <v>6</v>
      </c>
      <c r="C43" s="73">
        <v>2</v>
      </c>
      <c r="D43" s="73">
        <v>1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75" t="s">
        <v>140</v>
      </c>
      <c r="R43" s="75" t="s">
        <v>204</v>
      </c>
      <c r="S43" s="74"/>
    </row>
    <row r="44" spans="1:19" x14ac:dyDescent="0.2">
      <c r="A44" s="73" t="s">
        <v>205</v>
      </c>
      <c r="B44" s="73">
        <v>6</v>
      </c>
      <c r="C44" s="73">
        <v>2</v>
      </c>
      <c r="D44" s="73">
        <v>2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75" t="s">
        <v>206</v>
      </c>
      <c r="R44" s="75" t="s">
        <v>212</v>
      </c>
      <c r="S44" s="74"/>
    </row>
    <row r="45" spans="1:19" x14ac:dyDescent="0.2">
      <c r="A45" s="73" t="s">
        <v>208</v>
      </c>
      <c r="B45" s="73">
        <v>6</v>
      </c>
      <c r="C45" s="73">
        <v>2</v>
      </c>
      <c r="D45" s="73">
        <v>3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74"/>
      <c r="R45" s="74"/>
      <c r="S45" s="74"/>
    </row>
    <row r="46" spans="1:19" x14ac:dyDescent="0.2">
      <c r="A46" s="73" t="s">
        <v>209</v>
      </c>
      <c r="B46" s="73">
        <v>6</v>
      </c>
      <c r="C46" s="73">
        <v>1</v>
      </c>
      <c r="D46" s="73">
        <v>1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74"/>
    </row>
    <row r="47" spans="1:19" x14ac:dyDescent="0.2">
      <c r="A47" s="73" t="s">
        <v>210</v>
      </c>
      <c r="B47" s="73">
        <v>6</v>
      </c>
      <c r="C47" s="73">
        <v>1</v>
      </c>
      <c r="D47" s="73">
        <v>2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74"/>
    </row>
    <row r="48" spans="1:19" x14ac:dyDescent="0.2">
      <c r="A48" s="73" t="s">
        <v>211</v>
      </c>
      <c r="B48" s="73">
        <v>6</v>
      </c>
      <c r="C48" s="73">
        <v>1</v>
      </c>
      <c r="D48" s="73">
        <v>3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74"/>
    </row>
    <row r="49" spans="1:19" x14ac:dyDescent="0.2">
      <c r="A49" s="1" t="s">
        <v>200</v>
      </c>
      <c r="B49" s="1">
        <v>2</v>
      </c>
      <c r="C49" s="1">
        <v>3</v>
      </c>
      <c r="D49" s="1">
        <v>4</v>
      </c>
      <c r="E49">
        <v>881.16883116883116</v>
      </c>
      <c r="F49">
        <v>881.16883116883116</v>
      </c>
      <c r="G49">
        <v>881.16883116883116</v>
      </c>
      <c r="H49">
        <v>405.51948051948051</v>
      </c>
      <c r="I49">
        <v>274.02597402597405</v>
      </c>
      <c r="J49">
        <f>I49*0.5</f>
        <v>137.01298701298703</v>
      </c>
      <c r="K49">
        <f>J49*0.5</f>
        <v>68.506493506493513</v>
      </c>
      <c r="L49">
        <v>126.2338</v>
      </c>
      <c r="M49">
        <v>126.2338</v>
      </c>
      <c r="N49">
        <v>126.2338</v>
      </c>
      <c r="O49">
        <v>126.2338</v>
      </c>
      <c r="P49">
        <v>274.02597402597405</v>
      </c>
      <c r="Q49" s="76"/>
    </row>
    <row r="50" spans="1:19" x14ac:dyDescent="0.2">
      <c r="A50" s="1" t="s">
        <v>201</v>
      </c>
      <c r="B50" s="1">
        <v>2</v>
      </c>
      <c r="C50" s="1">
        <v>3</v>
      </c>
      <c r="D50" s="1">
        <v>5</v>
      </c>
      <c r="E50">
        <v>603.2467532467532</v>
      </c>
      <c r="F50">
        <v>603.2467532467532</v>
      </c>
      <c r="G50">
        <v>603.2467532467532</v>
      </c>
      <c r="H50">
        <v>449.02597402597405</v>
      </c>
      <c r="I50">
        <v>400.64935064935065</v>
      </c>
      <c r="J50">
        <v>326.44229999999999</v>
      </c>
      <c r="K50">
        <v>326.44229999999999</v>
      </c>
      <c r="L50">
        <v>56.693510000000003</v>
      </c>
      <c r="M50">
        <v>56.693510000000003</v>
      </c>
      <c r="N50">
        <v>56.693510000000003</v>
      </c>
      <c r="O50">
        <v>56.693510000000003</v>
      </c>
      <c r="P50">
        <v>400.64935064935065</v>
      </c>
      <c r="Q50" s="76"/>
    </row>
    <row r="51" spans="1:19" x14ac:dyDescent="0.2">
      <c r="A51" s="1" t="s">
        <v>202</v>
      </c>
      <c r="B51" s="1">
        <v>2</v>
      </c>
      <c r="C51" s="1">
        <v>3</v>
      </c>
      <c r="D51" s="1">
        <v>6</v>
      </c>
      <c r="E51">
        <v>1376.6233766233765</v>
      </c>
      <c r="F51">
        <v>1376.6233766233765</v>
      </c>
      <c r="G51">
        <v>1376.6233766233765</v>
      </c>
      <c r="H51">
        <v>1063.6363636363637</v>
      </c>
      <c r="I51">
        <v>841.55844155844159</v>
      </c>
      <c r="J51">
        <v>654.95123999999998</v>
      </c>
      <c r="K51">
        <v>654.95123999999998</v>
      </c>
      <c r="L51">
        <v>293.76620000000003</v>
      </c>
      <c r="M51">
        <v>293.76620000000003</v>
      </c>
      <c r="N51">
        <v>293.76620000000003</v>
      </c>
      <c r="O51">
        <v>293.76620000000003</v>
      </c>
      <c r="P51">
        <v>841.55844155844159</v>
      </c>
      <c r="Q51" s="76"/>
    </row>
    <row r="52" spans="1:19" x14ac:dyDescent="0.2">
      <c r="A52" t="s">
        <v>203</v>
      </c>
      <c r="B52" s="1">
        <v>2</v>
      </c>
      <c r="C52" s="1">
        <v>2</v>
      </c>
      <c r="D52" s="1">
        <v>1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77" t="s">
        <v>140</v>
      </c>
      <c r="R52" s="76">
        <v>1</v>
      </c>
      <c r="S52" s="76">
        <v>3</v>
      </c>
    </row>
    <row r="53" spans="1:19" x14ac:dyDescent="0.2">
      <c r="A53" t="s">
        <v>205</v>
      </c>
      <c r="B53" s="1">
        <v>2</v>
      </c>
      <c r="C53" s="1">
        <v>2</v>
      </c>
      <c r="D53" s="1">
        <v>2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76"/>
      <c r="R53" s="77" t="s">
        <v>22</v>
      </c>
      <c r="S53" s="77" t="s">
        <v>22</v>
      </c>
    </row>
    <row r="54" spans="1:19" x14ac:dyDescent="0.2">
      <c r="A54" t="s">
        <v>208</v>
      </c>
      <c r="B54" s="1">
        <v>2</v>
      </c>
      <c r="C54" s="1">
        <v>2</v>
      </c>
      <c r="D54" s="1">
        <v>3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76"/>
      <c r="R54" s="76"/>
      <c r="S54" s="76"/>
    </row>
    <row r="55" spans="1:19" x14ac:dyDescent="0.2">
      <c r="A55" t="s">
        <v>209</v>
      </c>
      <c r="B55" s="1">
        <v>2</v>
      </c>
      <c r="C55" s="1">
        <v>1</v>
      </c>
      <c r="D55" s="1">
        <v>1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76"/>
    </row>
    <row r="56" spans="1:19" x14ac:dyDescent="0.2">
      <c r="A56" t="s">
        <v>210</v>
      </c>
      <c r="B56" s="1">
        <v>2</v>
      </c>
      <c r="C56" s="1">
        <v>1</v>
      </c>
      <c r="D56" s="1">
        <v>2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76"/>
    </row>
    <row r="57" spans="1:19" x14ac:dyDescent="0.2">
      <c r="A57" t="s">
        <v>211</v>
      </c>
      <c r="B57" s="1">
        <v>2</v>
      </c>
      <c r="C57" s="1">
        <v>1</v>
      </c>
      <c r="D57" s="1">
        <v>3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76"/>
    </row>
    <row r="58" spans="1:19" x14ac:dyDescent="0.2">
      <c r="A58" s="73" t="s">
        <v>200</v>
      </c>
      <c r="B58" s="73">
        <v>1</v>
      </c>
      <c r="C58" s="73">
        <v>3</v>
      </c>
      <c r="D58" s="73">
        <v>4</v>
      </c>
      <c r="E58">
        <v>881.16883116883116</v>
      </c>
      <c r="F58">
        <v>881.16883116883116</v>
      </c>
      <c r="G58">
        <v>881.16883116883116</v>
      </c>
      <c r="H58">
        <v>405.51948051948051</v>
      </c>
      <c r="I58">
        <v>274.02597402597405</v>
      </c>
      <c r="J58">
        <f>I58*0.5</f>
        <v>137.01298701298703</v>
      </c>
      <c r="K58">
        <f>J58*0.5</f>
        <v>68.506493506493513</v>
      </c>
      <c r="L58">
        <v>126.2338</v>
      </c>
      <c r="M58">
        <v>126.2338</v>
      </c>
      <c r="N58">
        <v>126.2338</v>
      </c>
      <c r="O58">
        <v>126.2338</v>
      </c>
      <c r="P58">
        <v>274.02597402597405</v>
      </c>
      <c r="Q58" s="78"/>
    </row>
    <row r="59" spans="1:19" x14ac:dyDescent="0.2">
      <c r="A59" s="73" t="s">
        <v>201</v>
      </c>
      <c r="B59" s="73">
        <v>1</v>
      </c>
      <c r="C59" s="73">
        <v>3</v>
      </c>
      <c r="D59" s="73">
        <v>5</v>
      </c>
      <c r="E59">
        <v>603.2467532467532</v>
      </c>
      <c r="F59">
        <v>603.2467532467532</v>
      </c>
      <c r="G59">
        <v>603.2467532467532</v>
      </c>
      <c r="H59">
        <v>449.02597402597405</v>
      </c>
      <c r="I59">
        <v>400.64935064935065</v>
      </c>
      <c r="J59">
        <v>326.44229999999999</v>
      </c>
      <c r="K59">
        <v>326.44229999999999</v>
      </c>
      <c r="L59">
        <v>56.693510000000003</v>
      </c>
      <c r="M59">
        <v>56.693510000000003</v>
      </c>
      <c r="N59">
        <v>56.693510000000003</v>
      </c>
      <c r="O59">
        <v>56.693510000000003</v>
      </c>
      <c r="P59">
        <v>400.64935064935065</v>
      </c>
      <c r="Q59" s="78"/>
    </row>
    <row r="60" spans="1:19" x14ac:dyDescent="0.2">
      <c r="A60" s="73" t="s">
        <v>202</v>
      </c>
      <c r="B60" s="73">
        <v>1</v>
      </c>
      <c r="C60" s="73">
        <v>3</v>
      </c>
      <c r="D60" s="73">
        <v>6</v>
      </c>
      <c r="E60">
        <v>1376.6233766233765</v>
      </c>
      <c r="F60">
        <v>1376.6233766233765</v>
      </c>
      <c r="G60">
        <v>1376.6233766233765</v>
      </c>
      <c r="H60">
        <v>1063.6363636363637</v>
      </c>
      <c r="I60">
        <v>841.55844155844159</v>
      </c>
      <c r="J60">
        <v>654.95123999999998</v>
      </c>
      <c r="K60">
        <v>654.95123999999998</v>
      </c>
      <c r="L60">
        <v>293.76620000000003</v>
      </c>
      <c r="M60">
        <v>293.76620000000003</v>
      </c>
      <c r="N60">
        <v>293.76620000000003</v>
      </c>
      <c r="O60">
        <v>293.76620000000003</v>
      </c>
      <c r="P60">
        <v>841.55844155844159</v>
      </c>
      <c r="Q60" s="78"/>
    </row>
    <row r="61" spans="1:19" x14ac:dyDescent="0.2">
      <c r="A61" s="73" t="s">
        <v>203</v>
      </c>
      <c r="B61" s="73">
        <v>1</v>
      </c>
      <c r="C61" s="73">
        <v>2</v>
      </c>
      <c r="D61" s="73">
        <v>1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79" t="s">
        <v>140</v>
      </c>
      <c r="R61" s="78">
        <v>0.25</v>
      </c>
      <c r="S61" s="78">
        <v>1</v>
      </c>
    </row>
    <row r="62" spans="1:19" x14ac:dyDescent="0.2">
      <c r="A62" s="73" t="s">
        <v>205</v>
      </c>
      <c r="B62" s="73">
        <v>1</v>
      </c>
      <c r="C62" s="73">
        <v>2</v>
      </c>
      <c r="D62" s="73">
        <v>2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78"/>
      <c r="R62" s="79" t="s">
        <v>213</v>
      </c>
      <c r="S62" s="79" t="s">
        <v>214</v>
      </c>
    </row>
    <row r="63" spans="1:19" x14ac:dyDescent="0.2">
      <c r="A63" s="73" t="s">
        <v>208</v>
      </c>
      <c r="B63" s="73">
        <v>1</v>
      </c>
      <c r="C63" s="73">
        <v>2</v>
      </c>
      <c r="D63" s="73">
        <v>3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78"/>
      <c r="R63" s="78"/>
      <c r="S63" s="78"/>
    </row>
    <row r="64" spans="1:19" x14ac:dyDescent="0.2">
      <c r="A64" s="73" t="s">
        <v>209</v>
      </c>
      <c r="B64" s="73">
        <v>1</v>
      </c>
      <c r="C64" s="73">
        <v>1</v>
      </c>
      <c r="D64" s="73">
        <v>1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78"/>
    </row>
    <row r="65" spans="1:19" x14ac:dyDescent="0.2">
      <c r="A65" s="73" t="s">
        <v>210</v>
      </c>
      <c r="B65" s="73">
        <v>1</v>
      </c>
      <c r="C65" s="73">
        <v>1</v>
      </c>
      <c r="D65" s="73">
        <v>2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78"/>
    </row>
    <row r="66" spans="1:19" x14ac:dyDescent="0.2">
      <c r="A66" s="73" t="s">
        <v>211</v>
      </c>
      <c r="B66" s="73">
        <v>1</v>
      </c>
      <c r="C66" s="73">
        <v>1</v>
      </c>
      <c r="D66" s="73">
        <v>3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78"/>
    </row>
    <row r="67" spans="1:19" x14ac:dyDescent="0.2">
      <c r="A67" s="1" t="s">
        <v>200</v>
      </c>
      <c r="B67" s="1">
        <v>7</v>
      </c>
      <c r="C67" s="1">
        <v>3</v>
      </c>
      <c r="D67" s="1">
        <v>4</v>
      </c>
      <c r="E67">
        <v>881.16883116883116</v>
      </c>
      <c r="F67">
        <v>881.16883116883116</v>
      </c>
      <c r="G67">
        <v>881.16883116883116</v>
      </c>
      <c r="H67">
        <v>405.51948051948051</v>
      </c>
      <c r="I67">
        <v>274.02597402597405</v>
      </c>
      <c r="J67">
        <f>I67*0.5</f>
        <v>137.01298701298703</v>
      </c>
      <c r="K67">
        <f>J67*0.5</f>
        <v>68.506493506493513</v>
      </c>
      <c r="L67">
        <v>126.2338</v>
      </c>
      <c r="M67">
        <v>126.2338</v>
      </c>
      <c r="N67">
        <v>126.2338</v>
      </c>
      <c r="O67">
        <v>126.2338</v>
      </c>
      <c r="P67">
        <v>274.02597402597405</v>
      </c>
      <c r="Q67" s="80"/>
    </row>
    <row r="68" spans="1:19" x14ac:dyDescent="0.2">
      <c r="A68" s="1" t="s">
        <v>201</v>
      </c>
      <c r="B68" s="1">
        <v>7</v>
      </c>
      <c r="C68" s="1">
        <v>3</v>
      </c>
      <c r="D68" s="1">
        <v>5</v>
      </c>
      <c r="E68">
        <v>603.2467532467532</v>
      </c>
      <c r="F68">
        <v>603.2467532467532</v>
      </c>
      <c r="G68">
        <v>603.2467532467532</v>
      </c>
      <c r="H68">
        <v>449.02597402597405</v>
      </c>
      <c r="I68">
        <v>400.64935064935065</v>
      </c>
      <c r="J68">
        <v>326.44229999999999</v>
      </c>
      <c r="K68">
        <v>326.44229999999999</v>
      </c>
      <c r="L68">
        <v>56.693510000000003</v>
      </c>
      <c r="M68">
        <v>56.693510000000003</v>
      </c>
      <c r="N68">
        <v>56.693510000000003</v>
      </c>
      <c r="O68">
        <v>56.693510000000003</v>
      </c>
      <c r="P68">
        <v>400.64935064935065</v>
      </c>
      <c r="Q68" s="80"/>
    </row>
    <row r="69" spans="1:19" x14ac:dyDescent="0.2">
      <c r="A69" s="1" t="s">
        <v>202</v>
      </c>
      <c r="B69" s="1">
        <v>7</v>
      </c>
      <c r="C69" s="1">
        <v>3</v>
      </c>
      <c r="D69" s="1">
        <v>6</v>
      </c>
      <c r="E69">
        <v>1376.6233766233765</v>
      </c>
      <c r="F69">
        <v>1376.6233766233765</v>
      </c>
      <c r="G69">
        <v>1376.6233766233765</v>
      </c>
      <c r="H69">
        <v>1063.6363636363637</v>
      </c>
      <c r="I69">
        <v>841.55844155844159</v>
      </c>
      <c r="J69">
        <v>654.95123999999998</v>
      </c>
      <c r="K69">
        <v>654.95123999999998</v>
      </c>
      <c r="L69">
        <v>293.76620000000003</v>
      </c>
      <c r="M69">
        <v>293.76620000000003</v>
      </c>
      <c r="N69">
        <v>293.76620000000003</v>
      </c>
      <c r="O69">
        <v>293.76620000000003</v>
      </c>
      <c r="P69">
        <v>841.55844155844159</v>
      </c>
      <c r="Q69" s="80"/>
    </row>
    <row r="70" spans="1:19" x14ac:dyDescent="0.2">
      <c r="A70" s="1" t="s">
        <v>203</v>
      </c>
      <c r="B70" s="1">
        <v>7</v>
      </c>
      <c r="C70" s="1">
        <v>2</v>
      </c>
      <c r="D70" s="1">
        <v>1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81" t="s">
        <v>140</v>
      </c>
      <c r="R70" s="80">
        <v>0</v>
      </c>
      <c r="S70" s="80">
        <v>0.25</v>
      </c>
    </row>
    <row r="71" spans="1:19" x14ac:dyDescent="0.2">
      <c r="A71" s="1" t="s">
        <v>205</v>
      </c>
      <c r="B71" s="1">
        <v>7</v>
      </c>
      <c r="C71" s="1">
        <v>2</v>
      </c>
      <c r="D71" s="1">
        <v>2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80"/>
      <c r="R71" s="80"/>
      <c r="S71" s="81" t="s">
        <v>215</v>
      </c>
    </row>
    <row r="72" spans="1:19" x14ac:dyDescent="0.2">
      <c r="A72" s="1" t="s">
        <v>208</v>
      </c>
      <c r="B72" s="1">
        <v>7</v>
      </c>
      <c r="C72" s="1">
        <v>2</v>
      </c>
      <c r="D72" s="1">
        <v>3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80"/>
      <c r="R72" s="80"/>
      <c r="S72" s="80"/>
    </row>
    <row r="73" spans="1:19" x14ac:dyDescent="0.2">
      <c r="A73" s="1" t="s">
        <v>209</v>
      </c>
      <c r="B73" s="1">
        <v>7</v>
      </c>
      <c r="C73" s="1">
        <v>1</v>
      </c>
      <c r="D73" s="1">
        <v>1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80"/>
    </row>
    <row r="74" spans="1:19" x14ac:dyDescent="0.2">
      <c r="A74" s="1" t="s">
        <v>210</v>
      </c>
      <c r="B74" s="1">
        <v>7</v>
      </c>
      <c r="C74" s="1">
        <v>1</v>
      </c>
      <c r="D74" s="1">
        <v>2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80"/>
    </row>
    <row r="75" spans="1:19" x14ac:dyDescent="0.2">
      <c r="A75" s="1" t="s">
        <v>211</v>
      </c>
      <c r="B75" s="1">
        <v>7</v>
      </c>
      <c r="C75" s="1">
        <v>1</v>
      </c>
      <c r="D75" s="1">
        <v>3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80"/>
    </row>
    <row r="78" spans="1:19" x14ac:dyDescent="0.2">
      <c r="A78" s="82"/>
      <c r="B78" s="82"/>
      <c r="C78" s="82"/>
      <c r="D78" s="82"/>
    </row>
    <row r="79" spans="1:19" x14ac:dyDescent="0.2">
      <c r="A79" s="82"/>
      <c r="B79" s="82"/>
      <c r="C79" s="82"/>
      <c r="D79" s="82"/>
    </row>
    <row r="80" spans="1:19" x14ac:dyDescent="0.2">
      <c r="A80" s="82"/>
      <c r="B80" s="82"/>
      <c r="C80" s="82"/>
      <c r="D80" s="8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Readme</vt:lpstr>
      <vt:lpstr>Param_System</vt:lpstr>
      <vt:lpstr>Mashona</vt:lpstr>
      <vt:lpstr>Africander</vt:lpstr>
      <vt:lpstr>Friesian</vt:lpstr>
      <vt:lpstr>Mere</vt:lpstr>
      <vt:lpstr>Azawak</vt:lpstr>
      <vt:lpstr>LIVSIM_cows</vt:lpstr>
      <vt:lpstr>concentrate_quality</vt:lpstr>
      <vt:lpstr>forage_quality</vt:lpstr>
      <vt:lpstr>feed_input</vt:lpstr>
      <vt:lpstr>Africander!Breed_africander_1</vt:lpstr>
      <vt:lpstr>Friesian!Breed_friesian</vt:lpstr>
      <vt:lpstr>Mashona!Breed_mashona_1</vt:lpstr>
      <vt:lpstr>Mere!Breed_mere_1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Zijlstra, Mink</cp:lastModifiedBy>
  <cp:lastPrinted>2009-06-15T08:26:58Z</cp:lastPrinted>
  <dcterms:created xsi:type="dcterms:W3CDTF">1996-10-21T11:03:58Z</dcterms:created>
  <dcterms:modified xsi:type="dcterms:W3CDTF">2013-03-01T14:20:48Z</dcterms:modified>
</cp:coreProperties>
</file>